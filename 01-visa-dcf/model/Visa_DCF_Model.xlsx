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 Summary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Revenue Build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Forecast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Football Field" sheetId="10" state="visible" r:id="rId10"/>
    <sheet xmlns:r="http://schemas.openxmlformats.org/officeDocument/2006/relationships" name="Valuation Bridg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art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is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#,##0.0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0000FF"/>
    </font>
    <font>
      <color rgb="00000000"/>
    </font>
    <font>
      <color rgb="00008000"/>
    </font>
    <font>
      <b val="1"/>
    </font>
    <font>
      <b val="1"/>
      <color rgb="00000000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6" fontId="3" fillId="4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6" fontId="6" fillId="5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6" fontId="6" fillId="6" borderId="1" applyAlignment="1" pivotButton="0" quotePrefix="0" xfId="0">
      <alignment vertical="center"/>
    </xf>
    <xf numFmtId="164" fontId="6" fillId="6" borderId="1" applyAlignment="1" pivotButton="0" quotePrefix="0" xfId="0">
      <alignment vertical="center"/>
    </xf>
    <xf numFmtId="166" fontId="2" fillId="2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0" fontId="0" fillId="0" borderId="2" pivotButton="0" quotePrefix="0" xfId="0"/>
    <xf numFmtId="164" fontId="7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166" fontId="7" fillId="6" borderId="1" applyAlignment="1" pivotButton="0" quotePrefix="0" xfId="0">
      <alignment vertical="center"/>
    </xf>
    <xf numFmtId="166" fontId="4" fillId="6" borderId="1" applyAlignment="1" pivotButton="0" quotePrefix="0" xfId="0">
      <alignment vertical="center"/>
    </xf>
    <xf numFmtId="164" fontId="7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FCF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'Charts'!$A$7</f>
            </numRef>
          </val>
        </ser>
        <ser>
          <idx val="1"/>
          <order val="1"/>
          <tx>
            <strRef>
              <f>'Charts'!B6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'Charts'!$B$7</f>
            </numRef>
          </val>
        </ser>
        <ser>
          <idx val="2"/>
          <order val="2"/>
          <tx>
            <strRef>
              <f>'Charts'!C6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'Charts'!$C$7</f>
            </numRef>
          </val>
        </ser>
        <ser>
          <idx val="3"/>
          <order val="3"/>
          <tx>
            <strRef>
              <f>'Charts'!D6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'Charts'!$D$7</f>
            </numRef>
          </val>
        </ser>
        <ser>
          <idx val="4"/>
          <order val="4"/>
          <tx>
            <strRef>
              <f>'Charts'!E6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'Charts'!$E$7</f>
            </numRef>
          </val>
        </ser>
        <ser>
          <idx val="5"/>
          <order val="5"/>
          <tx>
            <strRef>
              <f>'Charts'!F6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'Charts'!$F$7</f>
            </numRef>
          </val>
        </ser>
        <ser>
          <idx val="6"/>
          <order val="6"/>
          <tx>
            <strRef>
              <f>'Charts'!G6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'Charts'!$G$7</f>
            </numRef>
          </val>
        </ser>
        <ser>
          <idx val="7"/>
          <order val="7"/>
          <tx>
            <strRef>
              <f>'Charts'!H6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'Charts'!$H$7</f>
            </numRef>
          </val>
        </ser>
        <ser>
          <idx val="8"/>
          <order val="8"/>
          <tx>
            <strRef>
              <f>'Charts'!I6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'Charts'!$I$7</f>
            </numRef>
          </val>
        </ser>
        <ser>
          <idx val="9"/>
          <order val="9"/>
          <tx>
            <strRef>
              <f>'Charts'!J6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'Charts'!$J$7</f>
            </numRef>
          </val>
        </ser>
        <ser>
          <idx val="10"/>
          <order val="10"/>
          <tx>
            <strRef>
              <f>'Charts'!K6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'Charts'!$K$7</f>
            </numRef>
          </val>
        </ser>
        <ser>
          <idx val="11"/>
          <order val="11"/>
          <tx>
            <strRef>
              <f>'Charts'!L6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'Charts'!$B$5:$L$5</f>
            </numRef>
          </cat>
          <val>
            <numRef>
              <f>'Charts'!$L$7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Implied Share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'Charts'!$A$26:$A$28</f>
            </numRef>
          </cat>
          <val>
            <numRef>
              <f>'Charts'!$B$26:$B$28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Visa Inc. (NYSE: V) — Professional DCF Valuation Upgrade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Prepared</t>
        </is>
      </c>
      <c r="B3" s="3" t="inlineStr">
        <is>
          <t>2026-07-08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Recommendation</t>
        </is>
      </c>
      <c r="B4" s="3" t="inlineStr">
        <is>
          <t>Neutral / Hold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Base Case Implied Share Price</t>
        </is>
      </c>
      <c r="B5" s="28">
        <f>DCF!B24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Current Share Price</t>
        </is>
      </c>
      <c r="B6" s="28">
        <f>Assumptions!B4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Model standard</t>
        </is>
      </c>
      <c r="B7" s="3" t="inlineStr">
        <is>
          <t>IB analyst model with driver-based revenue build, scenarios, football field, bridge, sensitivity, sources appendix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5" t="inlineStr">
        <is>
          <t>VP Review Comments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• Forecast upgraded from top-down growth to category-level driver build (service, data processing, international, other, less incentives).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• WACC inputs now include explicit public source notes and separate cost of debt proxy.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• Added Bear/Base/Bull DCF, football field, valuation bridge, color-formatted sensitivity table, charts and source appendix.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4">
    <mergeCell ref="A12:H12"/>
    <mergeCell ref="A13:H13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Executive Summary — VP Review Output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Recommendation</t>
        </is>
      </c>
      <c r="B3" s="29" t="inlineStr">
        <is>
          <t>Neutral / Hold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Base Case Implied Share Price</t>
        </is>
      </c>
      <c r="B4" s="30">
        <f>DCF!B24</f>
        <v/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Current Share Price</t>
        </is>
      </c>
      <c r="B5" s="16">
        <f>DCF!B25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Upside / (Downside)</t>
        </is>
      </c>
      <c r="B6" s="31">
        <f>DCF!B26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WACC</t>
        </is>
      </c>
      <c r="B7" s="18">
        <f>WACC!B18</f>
        <v/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Terminal Growth</t>
        </is>
      </c>
      <c r="B8" s="18">
        <f>Assumptions!B20</f>
        <v/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Model Upgrades Completed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• Driver-based revenue build by Visa reporting category: service, data processing, international, other, less client incentives.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• Explicit WACC source notes: FRED DGS10, 5-year weekly beta vs SPY, ERP assumption, FRED AAA corporate yield proxy.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• Bull / Base / Bear scenario outputs with different revenue growth, margin, WACC and terminal growth assumptions.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• Football field valuation, enterprise-to-equity valuation bridge, sensitivity heat map, charts and sources appendix.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• Investment recommendation reframed with buy/hold/upgrade/downgrade triggers.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Scenario Summary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Metric</t>
        </is>
      </c>
      <c r="B20" s="6" t="inlineStr">
        <is>
          <t>Bear</t>
        </is>
      </c>
      <c r="C20" s="6" t="inlineStr">
        <is>
          <t>Base</t>
        </is>
      </c>
      <c r="D20" s="6" t="inlineStr">
        <is>
          <t>Bull</t>
        </is>
      </c>
      <c r="E20" s="2" t="n"/>
      <c r="F20" s="2" t="n"/>
      <c r="G20" s="2" t="n"/>
      <c r="H20" s="2" t="n"/>
    </row>
    <row r="21">
      <c r="A21" s="2" t="inlineStr">
        <is>
          <t>Implied Share Price</t>
        </is>
      </c>
      <c r="B21" s="16">
        <f>'Scenarios'!B9</f>
        <v/>
      </c>
      <c r="C21" s="16">
        <f>'Scenarios'!C9</f>
        <v/>
      </c>
      <c r="D21" s="16">
        <f>'Scenarios'!D9</f>
        <v/>
      </c>
      <c r="E21" s="2" t="n"/>
      <c r="F21" s="2" t="n"/>
      <c r="G21" s="2" t="n"/>
      <c r="H21" s="2" t="n"/>
    </row>
    <row r="22">
      <c r="A22" s="2" t="inlineStr">
        <is>
          <t>Upside / (Downside)</t>
        </is>
      </c>
      <c r="B22" s="18">
        <f>'Scenarios'!B10</f>
        <v/>
      </c>
      <c r="C22" s="18">
        <f>'Scenarios'!C10</f>
        <v/>
      </c>
      <c r="D22" s="18">
        <f>'Scenarios'!D10</f>
        <v/>
      </c>
      <c r="E22" s="2" t="n"/>
      <c r="F22" s="2" t="n"/>
      <c r="G22" s="2" t="n"/>
      <c r="H22" s="2" t="n"/>
    </row>
    <row r="23">
      <c r="A23" s="2" t="inlineStr">
        <is>
          <t>Revenue CAGR FY25-FY30</t>
        </is>
      </c>
      <c r="B23" s="18">
        <f>'Scenarios'!B5</f>
        <v/>
      </c>
      <c r="C23" s="18">
        <f>'Scenarios'!C5</f>
        <v/>
      </c>
      <c r="D23" s="18">
        <f>'Scenarios'!D5</f>
        <v/>
      </c>
      <c r="E23" s="2" t="n"/>
      <c r="F23" s="2" t="n"/>
      <c r="G23" s="2" t="n"/>
      <c r="H23" s="2" t="n"/>
    </row>
    <row r="24">
      <c r="A24" s="2" t="inlineStr">
        <is>
          <t>FY30E Operating Margin</t>
        </is>
      </c>
      <c r="B24" s="18">
        <f>'Scenarios'!B6</f>
        <v/>
      </c>
      <c r="C24" s="18">
        <f>'Scenarios'!C6</f>
        <v/>
      </c>
      <c r="D24" s="18">
        <f>'Scenarios'!D6</f>
        <v/>
      </c>
      <c r="E24" s="2" t="n"/>
      <c r="F24" s="2" t="n"/>
      <c r="G24" s="2" t="n"/>
      <c r="H24" s="2" t="n"/>
    </row>
    <row r="25">
      <c r="A25" s="2" t="inlineStr">
        <is>
          <t>Terminal Growth</t>
        </is>
      </c>
      <c r="B25" s="18">
        <f>'Scenarios'!B8</f>
        <v/>
      </c>
      <c r="C25" s="18">
        <f>'Scenarios'!C8</f>
        <v/>
      </c>
      <c r="D25" s="18">
        <f>'Scenarios'!D8</f>
        <v/>
      </c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5" t="inlineStr">
        <is>
          <t>VP Recommendation</t>
        </is>
      </c>
      <c r="B29" s="2" t="n"/>
      <c r="C29" s="2" t="n"/>
      <c r="D29" s="2" t="n"/>
      <c r="E29" s="2" t="n"/>
      <c r="F29" s="2" t="n"/>
      <c r="G29" s="2" t="n"/>
      <c r="H29" s="2" t="n"/>
    </row>
    <row r="30">
      <c r="A30" s="3" t="inlineStr">
        <is>
          <t>Visa is an exceptional franchise, but the base-case intrinsic value remains below the latest trading price. Maintain Neutral / Hold unless the investor can underwrite the Bull case or buy closer to the base-case valuation range.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</sheetData>
  <mergeCells count="7">
    <mergeCell ref="A12:H12"/>
    <mergeCell ref="A15:H15"/>
    <mergeCell ref="A16:H16"/>
    <mergeCell ref="A13:H13"/>
    <mergeCell ref="A14:H14"/>
    <mergeCell ref="A1:H1"/>
    <mergeCell ref="A30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Historical Financial Analysis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Fiscal year ending Sep. 30</t>
        </is>
      </c>
      <c r="B3" s="6" t="inlineStr">
        <is>
          <t>FY20A</t>
        </is>
      </c>
      <c r="C3" s="6" t="inlineStr">
        <is>
          <t>FY21A</t>
        </is>
      </c>
      <c r="D3" s="6" t="inlineStr">
        <is>
          <t>FY22A</t>
        </is>
      </c>
      <c r="E3" s="6" t="inlineStr">
        <is>
          <t>FY23A</t>
        </is>
      </c>
      <c r="F3" s="6" t="inlineStr">
        <is>
          <t>FY24A</t>
        </is>
      </c>
      <c r="G3" s="6" t="inlineStr">
        <is>
          <t>FY25A</t>
        </is>
      </c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Revenue</t>
        </is>
      </c>
      <c r="B5" s="7" t="n">
        <v>21846</v>
      </c>
      <c r="C5" s="7" t="n">
        <v>24105</v>
      </c>
      <c r="D5" s="7" t="n">
        <v>29310</v>
      </c>
      <c r="E5" s="7" t="n">
        <v>32653</v>
      </c>
      <c r="F5" s="7" t="n">
        <v>35926</v>
      </c>
      <c r="G5" s="7" t="n">
        <v>40000</v>
      </c>
      <c r="H5" s="2" t="n"/>
    </row>
    <row r="6">
      <c r="A6" s="2" t="inlineStr">
        <is>
          <t>Revenue Growth</t>
        </is>
      </c>
      <c r="B6" s="8" t="n"/>
      <c r="C6" s="8">
        <f>C5/B5-1</f>
        <v/>
      </c>
      <c r="D6" s="8">
        <f>D5/C5-1</f>
        <v/>
      </c>
      <c r="E6" s="8">
        <f>E5/D5-1</f>
        <v/>
      </c>
      <c r="F6" s="8">
        <f>F5/E5-1</f>
        <v/>
      </c>
      <c r="G6" s="8">
        <f>G5/F5-1</f>
        <v/>
      </c>
      <c r="H6" s="2" t="n"/>
    </row>
    <row r="7">
      <c r="A7" s="2" t="inlineStr">
        <is>
          <t>Operating Income</t>
        </is>
      </c>
      <c r="B7" s="7" t="n">
        <v>14081</v>
      </c>
      <c r="C7" s="7" t="n">
        <v>15804</v>
      </c>
      <c r="D7" s="7" t="n">
        <v>18813</v>
      </c>
      <c r="E7" s="7" t="n">
        <v>21000</v>
      </c>
      <c r="F7" s="7" t="n">
        <v>23595</v>
      </c>
      <c r="G7" s="7" t="n">
        <v>23994</v>
      </c>
      <c r="H7" s="2" t="n"/>
    </row>
    <row r="8">
      <c r="A8" s="2" t="inlineStr">
        <is>
          <t>Operating Margin</t>
        </is>
      </c>
      <c r="B8" s="8">
        <f>B7/B5</f>
        <v/>
      </c>
      <c r="C8" s="8">
        <f>C7/C5</f>
        <v/>
      </c>
      <c r="D8" s="8">
        <f>D7/D5</f>
        <v/>
      </c>
      <c r="E8" s="8">
        <f>E7/E5</f>
        <v/>
      </c>
      <c r="F8" s="8">
        <f>F7/F5</f>
        <v/>
      </c>
      <c r="G8" s="8">
        <f>G7/G5</f>
        <v/>
      </c>
      <c r="H8" s="2" t="n"/>
    </row>
    <row r="9">
      <c r="A9" s="2" t="inlineStr">
        <is>
          <t>Net Income</t>
        </is>
      </c>
      <c r="B9" s="7" t="n">
        <v>10866</v>
      </c>
      <c r="C9" s="7" t="n">
        <v>12311</v>
      </c>
      <c r="D9" s="7" t="n">
        <v>14957</v>
      </c>
      <c r="E9" s="7" t="n">
        <v>17273</v>
      </c>
      <c r="F9" s="7" t="n">
        <v>19743</v>
      </c>
      <c r="G9" s="7" t="n">
        <v>20058</v>
      </c>
      <c r="H9" s="2" t="n"/>
    </row>
    <row r="10">
      <c r="A10" s="2" t="inlineStr">
        <is>
          <t>Net Margin</t>
        </is>
      </c>
      <c r="B10" s="8">
        <f>B9/B5</f>
        <v/>
      </c>
      <c r="C10" s="8">
        <f>C9/C5</f>
        <v/>
      </c>
      <c r="D10" s="8">
        <f>D9/D5</f>
        <v/>
      </c>
      <c r="E10" s="8">
        <f>E9/E5</f>
        <v/>
      </c>
      <c r="F10" s="8">
        <f>F9/F5</f>
        <v/>
      </c>
      <c r="G10" s="8">
        <f>G9/G5</f>
        <v/>
      </c>
      <c r="H10" s="2" t="n"/>
    </row>
    <row r="11">
      <c r="A11" s="2" t="inlineStr">
        <is>
          <t>D&amp;A</t>
        </is>
      </c>
      <c r="B11" s="7" t="n">
        <v>767</v>
      </c>
      <c r="C11" s="7" t="n">
        <v>804</v>
      </c>
      <c r="D11" s="7" t="n">
        <v>861</v>
      </c>
      <c r="E11" s="7" t="n">
        <v>943</v>
      </c>
      <c r="F11" s="7" t="n">
        <v>1034</v>
      </c>
      <c r="G11" s="7" t="n">
        <v>1220</v>
      </c>
      <c r="H11" s="2" t="n"/>
    </row>
    <row r="12">
      <c r="A12" s="2" t="inlineStr">
        <is>
          <t>Capex</t>
        </is>
      </c>
      <c r="B12" s="7" t="n">
        <v>736</v>
      </c>
      <c r="C12" s="7" t="n">
        <v>705</v>
      </c>
      <c r="D12" s="7" t="n">
        <v>970</v>
      </c>
      <c r="E12" s="7" t="n">
        <v>1059</v>
      </c>
      <c r="F12" s="7" t="n">
        <v>1257</v>
      </c>
      <c r="G12" s="7" t="n">
        <v>1482</v>
      </c>
      <c r="H12" s="2" t="n"/>
    </row>
    <row r="13">
      <c r="A13" s="2" t="inlineStr">
        <is>
          <t>Cash Flow from Operations</t>
        </is>
      </c>
      <c r="B13" s="7" t="n">
        <v>10440</v>
      </c>
      <c r="C13" s="7" t="n">
        <v>15227</v>
      </c>
      <c r="D13" s="7" t="n">
        <v>18849</v>
      </c>
      <c r="E13" s="7" t="n">
        <v>20755</v>
      </c>
      <c r="F13" s="7" t="n">
        <v>19950</v>
      </c>
      <c r="G13" s="7" t="n">
        <v>23059</v>
      </c>
      <c r="H13" s="2" t="n"/>
    </row>
    <row r="14">
      <c r="A14" s="2" t="inlineStr">
        <is>
          <t>FCF (CFO - Capex)</t>
        </is>
      </c>
      <c r="B14" s="9">
        <f>B13-B12</f>
        <v/>
      </c>
      <c r="C14" s="9">
        <f>C13-C12</f>
        <v/>
      </c>
      <c r="D14" s="9">
        <f>D13-D12</f>
        <v/>
      </c>
      <c r="E14" s="9">
        <f>E13-E12</f>
        <v/>
      </c>
      <c r="F14" s="9">
        <f>F13-F12</f>
        <v/>
      </c>
      <c r="G14" s="9">
        <f>G13-G12</f>
        <v/>
      </c>
      <c r="H14" s="2" t="n"/>
    </row>
    <row r="15">
      <c r="A15" s="2" t="inlineStr">
        <is>
          <t>FCF Margin</t>
        </is>
      </c>
      <c r="B15" s="8">
        <f>B14/B5</f>
        <v/>
      </c>
      <c r="C15" s="8">
        <f>C14/C5</f>
        <v/>
      </c>
      <c r="D15" s="8">
        <f>D14/D5</f>
        <v/>
      </c>
      <c r="E15" s="8">
        <f>E14/E5</f>
        <v/>
      </c>
      <c r="F15" s="8">
        <f>F14/F5</f>
        <v/>
      </c>
      <c r="G15" s="8">
        <f>G14/G5</f>
        <v/>
      </c>
      <c r="H15" s="2" t="n"/>
    </row>
    <row r="16">
      <c r="A16" s="2" t="inlineStr">
        <is>
          <t>Pre-tax Income</t>
        </is>
      </c>
      <c r="B16" s="7" t="n">
        <v>13790</v>
      </c>
      <c r="C16" s="7" t="n">
        <v>16063</v>
      </c>
      <c r="D16" s="7" t="n">
        <v>18136</v>
      </c>
      <c r="E16" s="7" t="n">
        <v>21037</v>
      </c>
      <c r="F16" s="7" t="n">
        <v>23916</v>
      </c>
      <c r="G16" s="7" t="n">
        <v>24194</v>
      </c>
      <c r="H16" s="2" t="n"/>
    </row>
    <row r="17">
      <c r="A17" s="2" t="inlineStr">
        <is>
          <t>Tax Expense</t>
        </is>
      </c>
      <c r="B17" s="7" t="n">
        <v>2924</v>
      </c>
      <c r="C17" s="7" t="n">
        <v>3752</v>
      </c>
      <c r="D17" s="7" t="n">
        <v>3179</v>
      </c>
      <c r="E17" s="7" t="n">
        <v>3764</v>
      </c>
      <c r="F17" s="7" t="n">
        <v>4173</v>
      </c>
      <c r="G17" s="7" t="n">
        <v>4136</v>
      </c>
      <c r="H17" s="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Driver-Based Revenue Build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6" t="inlineStr">
        <is>
          <t>Fiscal year</t>
        </is>
      </c>
      <c r="B3" s="6" t="inlineStr">
        <is>
          <t>FY20A</t>
        </is>
      </c>
      <c r="C3" s="6" t="inlineStr">
        <is>
          <t>FY21A</t>
        </is>
      </c>
      <c r="D3" s="6" t="inlineStr">
        <is>
          <t>FY22A</t>
        </is>
      </c>
      <c r="E3" s="6" t="inlineStr">
        <is>
          <t>FY23A</t>
        </is>
      </c>
      <c r="F3" s="6" t="inlineStr">
        <is>
          <t>FY24A</t>
        </is>
      </c>
      <c r="G3" s="6" t="inlineStr">
        <is>
          <t>FY25A</t>
        </is>
      </c>
      <c r="H3" s="6" t="inlineStr">
        <is>
          <t>FY26E</t>
        </is>
      </c>
      <c r="I3" s="6" t="inlineStr">
        <is>
          <t>FY27E</t>
        </is>
      </c>
      <c r="J3" s="6" t="inlineStr">
        <is>
          <t>FY28E</t>
        </is>
      </c>
      <c r="K3" s="6" t="inlineStr">
        <is>
          <t>FY29E</t>
        </is>
      </c>
      <c r="L3" s="6" t="inlineStr">
        <is>
          <t>FY30E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Service Revenue</t>
        </is>
      </c>
      <c r="B5" s="7" t="n">
        <v>9804</v>
      </c>
      <c r="C5" s="7" t="n">
        <v>11475</v>
      </c>
      <c r="D5" s="7" t="n">
        <v>13361</v>
      </c>
      <c r="E5" s="7" t="n">
        <v>14826</v>
      </c>
      <c r="F5" s="7" t="n">
        <v>16114</v>
      </c>
      <c r="G5" s="7" t="n">
        <v>17539</v>
      </c>
      <c r="H5" s="7" t="n">
        <v>19205.205</v>
      </c>
      <c r="I5" s="7" t="n">
        <v>20837.647425</v>
      </c>
      <c r="J5" s="7" t="n">
        <v>22400.47098187499</v>
      </c>
      <c r="K5" s="7" t="n">
        <v>23856.50159569687</v>
      </c>
      <c r="L5" s="7" t="n">
        <v>25287.89169143868</v>
      </c>
    </row>
    <row r="6">
      <c r="A6" s="2" t="inlineStr">
        <is>
          <t>Data Processing Revenue</t>
        </is>
      </c>
      <c r="B6" s="7" t="n">
        <v>10975</v>
      </c>
      <c r="C6" s="7" t="n">
        <v>12792</v>
      </c>
      <c r="D6" s="7" t="n">
        <v>14438</v>
      </c>
      <c r="E6" s="7" t="n">
        <v>16007</v>
      </c>
      <c r="F6" s="7" t="n">
        <v>17714</v>
      </c>
      <c r="G6" s="7" t="n">
        <v>19993</v>
      </c>
      <c r="H6" s="7" t="n">
        <v>22292.195</v>
      </c>
      <c r="I6" s="7" t="n">
        <v>24521.4145</v>
      </c>
      <c r="J6" s="7" t="n">
        <v>26728.341805</v>
      </c>
      <c r="K6" s="7" t="n">
        <v>28866.60914940001</v>
      </c>
      <c r="L6" s="7" t="n">
        <v>30887.27178985801</v>
      </c>
    </row>
    <row r="7">
      <c r="A7" s="2" t="inlineStr">
        <is>
          <t>International Transaction Revenue</t>
        </is>
      </c>
      <c r="B7" s="7" t="n">
        <v>6299</v>
      </c>
      <c r="C7" s="7" t="n">
        <v>6530</v>
      </c>
      <c r="D7" s="7" t="n">
        <v>9815</v>
      </c>
      <c r="E7" s="7" t="n">
        <v>11638</v>
      </c>
      <c r="F7" s="7" t="n">
        <v>12665</v>
      </c>
      <c r="G7" s="7" t="n">
        <v>14166</v>
      </c>
      <c r="H7" s="7" t="n">
        <v>15936.75</v>
      </c>
      <c r="I7" s="7" t="n">
        <v>17689.7925</v>
      </c>
      <c r="J7" s="7" t="n">
        <v>19370.3227875</v>
      </c>
      <c r="K7" s="7" t="n">
        <v>20919.94861050001</v>
      </c>
      <c r="L7" s="7" t="n">
        <v>22384.34501323501</v>
      </c>
    </row>
    <row r="8">
      <c r="A8" s="2" t="inlineStr">
        <is>
          <t>Other Revenue</t>
        </is>
      </c>
      <c r="B8" s="7" t="n">
        <v>1432</v>
      </c>
      <c r="C8" s="7" t="n">
        <v>1675</v>
      </c>
      <c r="D8" s="7" t="n">
        <v>1991</v>
      </c>
      <c r="E8" s="7" t="n">
        <v>2479</v>
      </c>
      <c r="F8" s="7" t="n">
        <v>3197</v>
      </c>
      <c r="G8" s="7" t="n">
        <v>4053</v>
      </c>
      <c r="H8" s="7" t="n">
        <v>4782.54</v>
      </c>
      <c r="I8" s="7" t="n">
        <v>5499.920999999999</v>
      </c>
      <c r="J8" s="7" t="n">
        <v>6159.91152</v>
      </c>
      <c r="K8" s="7" t="n">
        <v>6775.902672</v>
      </c>
      <c r="L8" s="7" t="n">
        <v>7317.974885760001</v>
      </c>
    </row>
    <row r="9">
      <c r="A9" s="2" t="inlineStr">
        <is>
          <t>Gross Revenue</t>
        </is>
      </c>
      <c r="B9" s="9">
        <f>SUM(B5:B8)</f>
        <v/>
      </c>
      <c r="C9" s="9">
        <f>SUM(C5:C8)</f>
        <v/>
      </c>
      <c r="D9" s="9">
        <f>SUM(D5:D8)</f>
        <v/>
      </c>
      <c r="E9" s="9">
        <f>SUM(E5:E8)</f>
        <v/>
      </c>
      <c r="F9" s="9">
        <f>SUM(F5:F8)</f>
        <v/>
      </c>
      <c r="G9" s="9">
        <f>SUM(G5:G8)</f>
        <v/>
      </c>
      <c r="H9" s="9">
        <f>SUM(H5:H8)</f>
        <v/>
      </c>
      <c r="I9" s="9">
        <f>SUM(I5:I8)</f>
        <v/>
      </c>
      <c r="J9" s="9">
        <f>SUM(J5:J8)</f>
        <v/>
      </c>
      <c r="K9" s="9">
        <f>SUM(K5:K8)</f>
        <v/>
      </c>
      <c r="L9" s="9">
        <f>SUM(L5:L8)</f>
        <v/>
      </c>
    </row>
    <row r="10">
      <c r="A10" s="2" t="inlineStr">
        <is>
          <t>Client Incentives</t>
        </is>
      </c>
      <c r="B10" s="7" t="n">
        <v>6664</v>
      </c>
      <c r="C10" s="7" t="n">
        <v>8367</v>
      </c>
      <c r="D10" s="7" t="n">
        <v>10295</v>
      </c>
      <c r="E10" s="7" t="n">
        <v>12297</v>
      </c>
      <c r="F10" s="7" t="n">
        <v>13764</v>
      </c>
      <c r="G10" s="7" t="n">
        <v>15751</v>
      </c>
      <c r="H10" s="7" t="n">
        <v>17641.12</v>
      </c>
      <c r="I10" s="7" t="n">
        <v>19493.4376</v>
      </c>
      <c r="J10" s="7" t="n">
        <v>21247.846984</v>
      </c>
      <c r="K10" s="7" t="n">
        <v>22947.67474272001</v>
      </c>
      <c r="L10" s="7" t="n">
        <v>24554.01197471041</v>
      </c>
    </row>
    <row r="11">
      <c r="A11" s="2" t="inlineStr">
        <is>
          <t>Net Revenue</t>
        </is>
      </c>
      <c r="B11" s="7" t="n">
        <v>21846</v>
      </c>
      <c r="C11" s="7" t="n">
        <v>24105</v>
      </c>
      <c r="D11" s="7" t="n">
        <v>29310</v>
      </c>
      <c r="E11" s="7" t="n">
        <v>32653</v>
      </c>
      <c r="F11" s="7" t="n">
        <v>35926</v>
      </c>
      <c r="G11" s="7" t="n">
        <v>40000</v>
      </c>
      <c r="H11" s="9">
        <f>H9-H10</f>
        <v/>
      </c>
      <c r="I11" s="9">
        <f>I9-I10</f>
        <v/>
      </c>
      <c r="J11" s="9">
        <f>J9-J10</f>
        <v/>
      </c>
      <c r="K11" s="9">
        <f>K9-K10</f>
        <v/>
      </c>
      <c r="L11" s="9">
        <f>L9-L10</f>
        <v/>
      </c>
    </row>
    <row r="12">
      <c r="A12" s="2" t="inlineStr">
        <is>
          <t>Net Revenue Growth</t>
        </is>
      </c>
      <c r="B12" s="8" t="n"/>
      <c r="C12" s="8">
        <f>C11/B11-1</f>
        <v/>
      </c>
      <c r="D12" s="8">
        <f>D11/C11-1</f>
        <v/>
      </c>
      <c r="E12" s="8">
        <f>E11/D11-1</f>
        <v/>
      </c>
      <c r="F12" s="8">
        <f>F11/E11-1</f>
        <v/>
      </c>
      <c r="G12" s="8">
        <f>G11/F11-1</f>
        <v/>
      </c>
      <c r="H12" s="8">
        <f>H11/G11-1</f>
        <v/>
      </c>
      <c r="I12" s="8">
        <f>I11/H11-1</f>
        <v/>
      </c>
      <c r="J12" s="8">
        <f>J11/I11-1</f>
        <v/>
      </c>
      <c r="K12" s="8">
        <f>K11/J11-1</f>
        <v/>
      </c>
      <c r="L12" s="8">
        <f>L11/K11-1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6" t="inlineStr">
        <is>
          <t>Base Case Category Growth Assumptions</t>
        </is>
      </c>
      <c r="B15" s="6" t="inlineStr">
        <is>
          <t>FY26E</t>
        </is>
      </c>
      <c r="C15" s="6" t="inlineStr">
        <is>
          <t>FY27E</t>
        </is>
      </c>
      <c r="D15" s="6" t="inlineStr">
        <is>
          <t>FY28E</t>
        </is>
      </c>
      <c r="E15" s="6" t="inlineStr">
        <is>
          <t>FY29E</t>
        </is>
      </c>
      <c r="F15" s="6" t="inlineStr">
        <is>
          <t>FY30E</t>
        </is>
      </c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Service Revenue</t>
        </is>
      </c>
      <c r="B16" s="10" t="n">
        <v>0.095</v>
      </c>
      <c r="C16" s="10" t="n">
        <v>0.08500000000000001</v>
      </c>
      <c r="D16" s="10" t="n">
        <v>0.075</v>
      </c>
      <c r="E16" s="10" t="n">
        <v>0.065</v>
      </c>
      <c r="F16" s="10" t="n">
        <v>0.06</v>
      </c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Data Processing Revenue</t>
        </is>
      </c>
      <c r="B17" s="10" t="n">
        <v>0.115</v>
      </c>
      <c r="C17" s="10" t="n">
        <v>0.1</v>
      </c>
      <c r="D17" s="10" t="n">
        <v>0.09</v>
      </c>
      <c r="E17" s="10" t="n">
        <v>0.08</v>
      </c>
      <c r="F17" s="10" t="n">
        <v>0.07000000000000001</v>
      </c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International Transaction Revenue</t>
        </is>
      </c>
      <c r="B18" s="10" t="n">
        <v>0.125</v>
      </c>
      <c r="C18" s="10" t="n">
        <v>0.11</v>
      </c>
      <c r="D18" s="10" t="n">
        <v>0.095</v>
      </c>
      <c r="E18" s="10" t="n">
        <v>0.08</v>
      </c>
      <c r="F18" s="10" t="n">
        <v>0.07000000000000001</v>
      </c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Other Revenue</t>
        </is>
      </c>
      <c r="B19" s="10" t="n">
        <v>0.18</v>
      </c>
      <c r="C19" s="10" t="n">
        <v>0.15</v>
      </c>
      <c r="D19" s="10" t="n">
        <v>0.12</v>
      </c>
      <c r="E19" s="10" t="n">
        <v>0.1</v>
      </c>
      <c r="F19" s="10" t="n">
        <v>0.08</v>
      </c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Client Incentives</t>
        </is>
      </c>
      <c r="B20" s="10" t="n">
        <v>0.12</v>
      </c>
      <c r="C20" s="10" t="n">
        <v>0.105</v>
      </c>
      <c r="D20" s="10" t="n">
        <v>0.09</v>
      </c>
      <c r="E20" s="10" t="n">
        <v>0.08</v>
      </c>
      <c r="F20" s="10" t="n">
        <v>0.07000000000000001</v>
      </c>
      <c r="G20" s="2" t="n"/>
      <c r="H20" s="2" t="n"/>
      <c r="I20" s="2" t="n"/>
      <c r="J20" s="2" t="n"/>
      <c r="K20" s="2" t="n"/>
      <c r="L20" s="2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Assumptions &amp; Source Notes</t>
        </is>
      </c>
      <c r="B1" s="32" t="n"/>
      <c r="C1" s="32" t="n"/>
      <c r="D1" s="32" t="n"/>
      <c r="E1" s="32" t="n"/>
      <c r="F1" s="32" t="n"/>
      <c r="G1" s="3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5" t="inlineStr">
        <is>
          <t>Market / Capital Structure</t>
        </is>
      </c>
      <c r="B3" s="6" t="inlineStr">
        <is>
          <t>Value</t>
        </is>
      </c>
      <c r="C3" s="6" t="inlineStr">
        <is>
          <t>Source / Rationale</t>
        </is>
      </c>
      <c r="D3" s="2" t="n"/>
      <c r="E3" s="2" t="n"/>
      <c r="F3" s="2" t="n"/>
      <c r="G3" s="2" t="n"/>
    </row>
    <row r="4">
      <c r="A4" s="2" t="inlineStr">
        <is>
          <t>Current Share Price</t>
        </is>
      </c>
      <c r="B4" s="11" t="n">
        <v>352.2</v>
      </c>
      <c r="C4" s="3" t="inlineStr">
        <is>
          <t>Yahoo Finance chart API regular market price, 2026-07-07</t>
        </is>
      </c>
      <c r="D4" s="2" t="n"/>
      <c r="E4" s="2" t="n"/>
      <c r="F4" s="2" t="n"/>
      <c r="G4" s="2" t="n"/>
    </row>
    <row r="5">
      <c r="A5" s="2" t="inlineStr">
        <is>
          <t>Diluted / As-Converted Shares</t>
        </is>
      </c>
      <c r="B5" s="12" t="n">
        <v>1894</v>
      </c>
      <c r="C5" s="3" t="inlineStr">
        <is>
          <t>Visa latest 10-Q as-converted share disclosure (2026-03-31, filed 2026-04-29)</t>
        </is>
      </c>
      <c r="D5" s="2" t="n"/>
      <c r="E5" s="2" t="n"/>
      <c r="F5" s="2" t="n"/>
      <c r="G5" s="2" t="n"/>
    </row>
    <row r="6">
      <c r="A6" s="2" t="inlineStr">
        <is>
          <t>Cash &amp; Cash Equivalents</t>
        </is>
      </c>
      <c r="B6" s="11" t="n">
        <v>12404</v>
      </c>
      <c r="C6" s="3" t="inlineStr">
        <is>
          <t>Visa latest balance sheet, 2026-03-31</t>
        </is>
      </c>
      <c r="D6" s="2" t="n"/>
      <c r="E6" s="2" t="n"/>
      <c r="F6" s="2" t="n"/>
      <c r="G6" s="2" t="n"/>
    </row>
    <row r="7">
      <c r="A7" s="2" t="inlineStr">
        <is>
          <t>Current Investments</t>
        </is>
      </c>
      <c r="B7" s="11" t="n">
        <v>1509</v>
      </c>
      <c r="C7" s="3" t="inlineStr">
        <is>
          <t>Visa latest balance sheet, 2026-03-31</t>
        </is>
      </c>
      <c r="D7" s="2" t="n"/>
      <c r="E7" s="2" t="n"/>
      <c r="F7" s="2" t="n"/>
      <c r="G7" s="2" t="n"/>
    </row>
    <row r="8">
      <c r="A8" s="2" t="inlineStr">
        <is>
          <t>Long-term Investments</t>
        </is>
      </c>
      <c r="B8" s="11" t="n">
        <v>308</v>
      </c>
      <c r="C8" s="3" t="inlineStr">
        <is>
          <t>Visa latest balance sheet, 2026-03-31</t>
        </is>
      </c>
      <c r="D8" s="2" t="n"/>
      <c r="E8" s="2" t="n"/>
      <c r="F8" s="2" t="n"/>
      <c r="G8" s="2" t="n"/>
    </row>
    <row r="9">
      <c r="A9" s="2" t="inlineStr">
        <is>
          <t>Total Debt</t>
        </is>
      </c>
      <c r="B9" s="11" t="n">
        <v>23976</v>
      </c>
      <c r="C9" s="3" t="inlineStr">
        <is>
          <t>Visa latest balance sheet, 2026-03-31</t>
        </is>
      </c>
      <c r="D9" s="2" t="n"/>
      <c r="E9" s="2" t="n"/>
      <c r="F9" s="2" t="n"/>
      <c r="G9" s="2" t="n"/>
    </row>
    <row r="10">
      <c r="A10" s="2" t="inlineStr">
        <is>
          <t>Cash + Investments</t>
        </is>
      </c>
      <c r="B10" s="13">
        <f>SUM(B6:B8)</f>
        <v/>
      </c>
      <c r="C10" s="3" t="inlineStr">
        <is>
          <t>Cash plus current and long-term investments</t>
        </is>
      </c>
      <c r="D10" s="2" t="n"/>
      <c r="E10" s="2" t="n"/>
      <c r="F10" s="2" t="n"/>
      <c r="G10" s="2" t="n"/>
    </row>
    <row r="11">
      <c r="A11" s="2" t="inlineStr">
        <is>
          <t>Net Debt</t>
        </is>
      </c>
      <c r="B11" s="13">
        <f>B9-B10</f>
        <v/>
      </c>
      <c r="C11" s="3" t="inlineStr">
        <is>
          <t>Debt less cash + investments</t>
        </is>
      </c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5" t="inlineStr">
        <is>
          <t>WACC Inputs</t>
        </is>
      </c>
      <c r="B14" s="6" t="inlineStr">
        <is>
          <t>Value</t>
        </is>
      </c>
      <c r="C14" s="6" t="inlineStr">
        <is>
          <t>Source / Rationale</t>
        </is>
      </c>
      <c r="D14" s="2" t="n"/>
      <c r="E14" s="2" t="n"/>
      <c r="F14" s="2" t="n"/>
      <c r="G14" s="2" t="n"/>
    </row>
    <row r="15">
      <c r="A15" s="2" t="inlineStr">
        <is>
          <t>Risk-free Rate</t>
        </is>
      </c>
      <c r="B15" s="14" t="n">
        <v>0.04480000000000001</v>
      </c>
      <c r="C15" s="3" t="inlineStr">
        <is>
          <t>FRED DGS10, 2026-07-06</t>
        </is>
      </c>
      <c r="D15" s="2" t="n"/>
      <c r="E15" s="2" t="n"/>
      <c r="F15" s="2" t="n"/>
      <c r="G15" s="2" t="n"/>
    </row>
    <row r="16">
      <c r="A16" s="2" t="inlineStr">
        <is>
          <t>Beta</t>
        </is>
      </c>
      <c r="B16" s="12" t="n">
        <v>0.84</v>
      </c>
      <c r="C16" s="3" t="inlineStr">
        <is>
          <t>5-year weekly regression of V vs SPY, 261 observations from Yahoo chart API</t>
        </is>
      </c>
      <c r="D16" s="2" t="n"/>
      <c r="E16" s="2" t="n"/>
      <c r="F16" s="2" t="n"/>
      <c r="G16" s="2" t="n"/>
    </row>
    <row r="17">
      <c r="A17" s="2" t="inlineStr">
        <is>
          <t>Equity Risk Premium</t>
        </is>
      </c>
      <c r="B17" s="14" t="n">
        <v>0.05</v>
      </c>
      <c r="C17" s="3" t="inlineStr">
        <is>
          <t>Analyst assumption; benchmarked to common U.S. ERP range / Damodaran-style market convention</t>
        </is>
      </c>
      <c r="D17" s="2" t="n"/>
      <c r="E17" s="2" t="n"/>
      <c r="F17" s="2" t="n"/>
      <c r="G17" s="2" t="n"/>
    </row>
    <row r="18">
      <c r="A18" s="2" t="inlineStr">
        <is>
          <t>Pre-tax Cost of Debt</t>
        </is>
      </c>
      <c r="B18" s="14" t="n">
        <v>0.0507</v>
      </c>
      <c r="C18" s="3" t="inlineStr">
        <is>
          <t>FRED ICE BofA AAA corporate effective yield (BAMLC0A1CAAAEY), 2026-07-06</t>
        </is>
      </c>
      <c r="D18" s="2" t="n"/>
      <c r="E18" s="2" t="n"/>
      <c r="F18" s="2" t="n"/>
      <c r="G18" s="2" t="n"/>
    </row>
    <row r="19">
      <c r="A19" s="2" t="inlineStr">
        <is>
          <t>Tax Rate</t>
        </is>
      </c>
      <c r="B19" s="14" t="n">
        <v>0.19</v>
      </c>
      <c r="C19" s="3" t="inlineStr">
        <is>
          <t>Normalized cash tax rate, cross-checked vs recent Visa effective tax rates</t>
        </is>
      </c>
      <c r="D19" s="2" t="n"/>
      <c r="E19" s="2" t="n"/>
      <c r="F19" s="2" t="n"/>
      <c r="G19" s="2" t="n"/>
    </row>
    <row r="20">
      <c r="A20" s="2" t="inlineStr">
        <is>
          <t>Terminal Growth</t>
        </is>
      </c>
      <c r="B20" s="14" t="n">
        <v>0.035</v>
      </c>
      <c r="C20" s="3" t="inlineStr">
        <is>
          <t>Long-run nominal growth: approx. inflation plus real GDP; below explicit forecast CAGR and below WACC</t>
        </is>
      </c>
      <c r="D20" s="2" t="n"/>
      <c r="E20" s="2" t="n"/>
      <c r="F20" s="2" t="n"/>
      <c r="G20" s="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Bull / Base / Bear Scenario Analysis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6" t="inlineStr">
        <is>
          <t>Scenario</t>
        </is>
      </c>
      <c r="B3" s="6" t="inlineStr">
        <is>
          <t>Bear</t>
        </is>
      </c>
      <c r="C3" s="6" t="inlineStr">
        <is>
          <t>Base</t>
        </is>
      </c>
      <c r="D3" s="6" t="inlineStr">
        <is>
          <t>Bull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Revenue CAGR FY25-FY30</t>
        </is>
      </c>
      <c r="B5" s="10" t="n">
        <v>0.04758581376820792</v>
      </c>
      <c r="C5" s="10" t="n">
        <v>0.08921433407759793</v>
      </c>
      <c r="D5" s="10" t="n">
        <v>0.1150378676237462</v>
      </c>
      <c r="E5" s="2" t="n"/>
      <c r="F5" s="2" t="n"/>
      <c r="G5" s="2" t="n"/>
      <c r="H5" s="2" t="n"/>
      <c r="I5" s="2" t="n"/>
      <c r="J5" s="2" t="n"/>
    </row>
    <row r="6">
      <c r="A6" s="2" t="inlineStr">
        <is>
          <t>FY30E Operating Margin</t>
        </is>
      </c>
      <c r="B6" s="10" t="n">
        <v>0.625</v>
      </c>
      <c r="C6" s="10" t="n">
        <v>0.65</v>
      </c>
      <c r="D6" s="10" t="n">
        <v>0.66</v>
      </c>
      <c r="E6" s="2" t="n"/>
      <c r="F6" s="2" t="n"/>
      <c r="G6" s="2" t="n"/>
      <c r="H6" s="2" t="n"/>
      <c r="I6" s="2" t="n"/>
      <c r="J6" s="2" t="n"/>
    </row>
    <row r="7">
      <c r="A7" s="2" t="inlineStr">
        <is>
          <t>WACC</t>
        </is>
      </c>
      <c r="B7" s="10" t="n">
        <v>0.09021327569290935</v>
      </c>
      <c r="C7" s="10" t="n">
        <v>0.08521327569290935</v>
      </c>
      <c r="D7" s="10" t="n">
        <v>0.08021327569290934</v>
      </c>
      <c r="E7" s="2" t="n"/>
      <c r="F7" s="2" t="n"/>
      <c r="G7" s="2" t="n"/>
      <c r="H7" s="2" t="n"/>
      <c r="I7" s="2" t="n"/>
      <c r="J7" s="2" t="n"/>
    </row>
    <row r="8">
      <c r="A8" s="2" t="inlineStr">
        <is>
          <t>Terminal Growth</t>
        </is>
      </c>
      <c r="B8" s="10" t="n">
        <v>0.025</v>
      </c>
      <c r="C8" s="10" t="n">
        <v>0.035</v>
      </c>
      <c r="D8" s="10" t="n">
        <v>0.04</v>
      </c>
      <c r="E8" s="2" t="n"/>
      <c r="F8" s="2" t="n"/>
      <c r="G8" s="2" t="n"/>
      <c r="H8" s="2" t="n"/>
      <c r="I8" s="2" t="n"/>
      <c r="J8" s="2" t="n"/>
    </row>
    <row r="9">
      <c r="A9" s="2" t="inlineStr">
        <is>
          <t>Implied Share Price</t>
        </is>
      </c>
      <c r="B9" s="15" t="n">
        <v>179.8808070679156</v>
      </c>
      <c r="C9" s="15" t="n">
        <v>284.5397691660381</v>
      </c>
      <c r="D9" s="15" t="n">
        <v>398.9085821089244</v>
      </c>
      <c r="E9" s="2" t="n"/>
      <c r="F9" s="2" t="n"/>
      <c r="G9" s="2" t="n"/>
      <c r="H9" s="2" t="n"/>
      <c r="I9" s="2" t="n"/>
      <c r="J9" s="2" t="n"/>
    </row>
    <row r="10">
      <c r="A10" s="2" t="inlineStr">
        <is>
          <t>Upside / (Downside)</t>
        </is>
      </c>
      <c r="B10" s="10" t="n">
        <v>-0.4892651701649188</v>
      </c>
      <c r="C10" s="10" t="n">
        <v>-0.1921074129300451</v>
      </c>
      <c r="D10" s="10" t="n">
        <v>0.132619483557423</v>
      </c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5" t="inlineStr">
        <is>
          <t>VP Interpretation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Bear case captures payment-volume deceleration / regulatory pressure; Bull case requires sustained high-teens VAS and international recovery plus margin expansion. Base case remains below current price, making valuation discipline the gating issue.</t>
        </is>
      </c>
      <c r="F14" s="2" t="n"/>
      <c r="G14" s="2" t="n"/>
      <c r="H14" s="2" t="n"/>
      <c r="I14" s="2" t="n"/>
      <c r="J14" s="2" t="n"/>
    </row>
    <row r="15">
      <c r="F15" s="2" t="n"/>
      <c r="G15" s="2" t="n"/>
      <c r="H15" s="2" t="n"/>
      <c r="I15" s="2" t="n"/>
      <c r="J15" s="2" t="n"/>
    </row>
    <row r="16">
      <c r="A16" s="32" t="n"/>
      <c r="B16" s="32" t="n"/>
      <c r="C16" s="32" t="n"/>
      <c r="D16" s="32" t="n"/>
      <c r="E16" s="32" t="n"/>
      <c r="F16" s="2" t="n"/>
      <c r="G16" s="2" t="n"/>
      <c r="H16" s="2" t="n"/>
      <c r="I16" s="2" t="n"/>
      <c r="J16" s="2" t="n"/>
    </row>
  </sheetData>
  <mergeCells count="2">
    <mergeCell ref="A1:J1"/>
    <mergeCell ref="A14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Base Case Operating Forecast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Fiscal year</t>
        </is>
      </c>
      <c r="B3" s="6" t="inlineStr">
        <is>
          <t>FY26E</t>
        </is>
      </c>
      <c r="C3" s="6" t="inlineStr">
        <is>
          <t>FY27E</t>
        </is>
      </c>
      <c r="D3" s="6" t="inlineStr">
        <is>
          <t>FY28E</t>
        </is>
      </c>
      <c r="E3" s="6" t="inlineStr">
        <is>
          <t>FY29E</t>
        </is>
      </c>
      <c r="F3" s="6" t="inlineStr">
        <is>
          <t>FY30E</t>
        </is>
      </c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Net Revenue</t>
        </is>
      </c>
      <c r="B5" s="9">
        <f>'Revenue Build'!H11</f>
        <v/>
      </c>
      <c r="C5" s="9">
        <f>'Revenue Build'!I11</f>
        <v/>
      </c>
      <c r="D5" s="9">
        <f>'Revenue Build'!J11</f>
        <v/>
      </c>
      <c r="E5" s="9">
        <f>'Revenue Build'!K11</f>
        <v/>
      </c>
      <c r="F5" s="9">
        <f>'Revenue Build'!L11</f>
        <v/>
      </c>
      <c r="G5" s="2" t="n"/>
      <c r="H5" s="2" t="n"/>
    </row>
    <row r="6">
      <c r="A6" s="2" t="inlineStr">
        <is>
          <t>Revenue Growth</t>
        </is>
      </c>
      <c r="B6" s="8">
        <f>B5/Historical!G5-1</f>
        <v/>
      </c>
      <c r="C6" s="8">
        <f>C5/B5-1</f>
        <v/>
      </c>
      <c r="D6" s="8">
        <f>D5/C5-1</f>
        <v/>
      </c>
      <c r="E6" s="8">
        <f>E5/D5-1</f>
        <v/>
      </c>
      <c r="F6" s="8">
        <f>F5/E5-1</f>
        <v/>
      </c>
      <c r="G6" s="2" t="n"/>
      <c r="H6" s="2" t="n"/>
    </row>
    <row r="7">
      <c r="A7" s="2" t="inlineStr">
        <is>
          <t>Operating Margin</t>
        </is>
      </c>
      <c r="B7" s="10" t="n">
        <v>0.63</v>
      </c>
      <c r="C7" s="10" t="n">
        <v>0.64</v>
      </c>
      <c r="D7" s="10" t="n">
        <v>0.645</v>
      </c>
      <c r="E7" s="10" t="n">
        <v>0.65</v>
      </c>
      <c r="F7" s="10" t="n">
        <v>0.65</v>
      </c>
      <c r="G7" s="2" t="n"/>
      <c r="H7" s="2" t="n"/>
    </row>
    <row r="8">
      <c r="A8" s="2" t="inlineStr">
        <is>
          <t>Operating Income</t>
        </is>
      </c>
      <c r="B8" s="9">
        <f>B5*B7</f>
        <v/>
      </c>
      <c r="C8" s="9">
        <f>C5*C7</f>
        <v/>
      </c>
      <c r="D8" s="9">
        <f>D5*D7</f>
        <v/>
      </c>
      <c r="E8" s="9">
        <f>E5*E7</f>
        <v/>
      </c>
      <c r="F8" s="9">
        <f>F5*F7</f>
        <v/>
      </c>
      <c r="G8" s="2" t="n"/>
      <c r="H8" s="2" t="n"/>
    </row>
    <row r="9">
      <c r="A9" s="2" t="inlineStr">
        <is>
          <t>Tax Rate</t>
        </is>
      </c>
      <c r="B9" s="8">
        <f>Assumptions!B19</f>
        <v/>
      </c>
      <c r="C9" s="8">
        <f>Assumptions!B19</f>
        <v/>
      </c>
      <c r="D9" s="8">
        <f>Assumptions!B19</f>
        <v/>
      </c>
      <c r="E9" s="8">
        <f>Assumptions!B19</f>
        <v/>
      </c>
      <c r="F9" s="8">
        <f>Assumptions!B19</f>
        <v/>
      </c>
      <c r="G9" s="2" t="n"/>
      <c r="H9" s="2" t="n"/>
    </row>
    <row r="10">
      <c r="A10" s="2" t="inlineStr">
        <is>
          <t>Tax Expense</t>
        </is>
      </c>
      <c r="B10" s="9">
        <f>B8*B9</f>
        <v/>
      </c>
      <c r="C10" s="9">
        <f>C8*C9</f>
        <v/>
      </c>
      <c r="D10" s="9">
        <f>D8*D9</f>
        <v/>
      </c>
      <c r="E10" s="9">
        <f>E8*E9</f>
        <v/>
      </c>
      <c r="F10" s="9">
        <f>F8*F9</f>
        <v/>
      </c>
      <c r="G10" s="2" t="n"/>
      <c r="H10" s="2" t="n"/>
    </row>
    <row r="11">
      <c r="A11" s="2" t="inlineStr">
        <is>
          <t>NOPAT</t>
        </is>
      </c>
      <c r="B11" s="9">
        <f>B8-B10</f>
        <v/>
      </c>
      <c r="C11" s="9">
        <f>C8-C10</f>
        <v/>
      </c>
      <c r="D11" s="9">
        <f>D8-D10</f>
        <v/>
      </c>
      <c r="E11" s="9">
        <f>E8-E10</f>
        <v/>
      </c>
      <c r="F11" s="9">
        <f>F8-F10</f>
        <v/>
      </c>
      <c r="G11" s="2" t="n"/>
      <c r="H11" s="2" t="n"/>
    </row>
    <row r="12">
      <c r="A12" s="2" t="inlineStr">
        <is>
          <t>D&amp;A</t>
        </is>
      </c>
      <c r="B12" s="9">
        <f>B5*3.1%</f>
        <v/>
      </c>
      <c r="C12" s="9">
        <f>C5*3.1%</f>
        <v/>
      </c>
      <c r="D12" s="9">
        <f>D5*3.1%</f>
        <v/>
      </c>
      <c r="E12" s="9">
        <f>E5*3.1%</f>
        <v/>
      </c>
      <c r="F12" s="9">
        <f>F5*3.1%</f>
        <v/>
      </c>
      <c r="G12" s="2" t="n"/>
      <c r="H12" s="2" t="n"/>
    </row>
    <row r="13">
      <c r="A13" s="2" t="inlineStr">
        <is>
          <t>Capex</t>
        </is>
      </c>
      <c r="B13" s="9">
        <f>B5*3.6%</f>
        <v/>
      </c>
      <c r="C13" s="9">
        <f>C5*3.6%</f>
        <v/>
      </c>
      <c r="D13" s="9">
        <f>D5*3.6%</f>
        <v/>
      </c>
      <c r="E13" s="9">
        <f>E5*3.6%</f>
        <v/>
      </c>
      <c r="F13" s="9">
        <f>F5*3.6%</f>
        <v/>
      </c>
      <c r="G13" s="2" t="n"/>
      <c r="H13" s="2" t="n"/>
    </row>
    <row r="14">
      <c r="A14" s="2" t="inlineStr">
        <is>
          <t>Change in NWC</t>
        </is>
      </c>
      <c r="B14" s="9">
        <f>(B5-Historical!G5)*0.5%</f>
        <v/>
      </c>
      <c r="C14" s="9">
        <f>(C5-B5)*0.5%</f>
        <v/>
      </c>
      <c r="D14" s="9">
        <f>(D5-C5)*0.5%</f>
        <v/>
      </c>
      <c r="E14" s="9">
        <f>(E5-D5)*0.5%</f>
        <v/>
      </c>
      <c r="F14" s="9">
        <f>(F5-E5)*0.5%</f>
        <v/>
      </c>
      <c r="G14" s="2" t="n"/>
      <c r="H14" s="2" t="n"/>
    </row>
    <row r="15">
      <c r="A15" s="2" t="inlineStr">
        <is>
          <t>Unlevered FCF</t>
        </is>
      </c>
      <c r="B15" s="9">
        <f>B11+B12-B13-B14</f>
        <v/>
      </c>
      <c r="C15" s="9">
        <f>C11+C12-C13-C14</f>
        <v/>
      </c>
      <c r="D15" s="9">
        <f>D11+D12-D13-D14</f>
        <v/>
      </c>
      <c r="E15" s="9">
        <f>E11+E12-E13-E14</f>
        <v/>
      </c>
      <c r="F15" s="9">
        <f>F11+F12-F13-F14</f>
        <v/>
      </c>
      <c r="G15" s="2" t="n"/>
      <c r="H15" s="2" t="n"/>
    </row>
    <row r="16">
      <c r="A16" s="2" t="inlineStr">
        <is>
          <t>FCF Margin</t>
        </is>
      </c>
      <c r="B16" s="8">
        <f>B15/B5</f>
        <v/>
      </c>
      <c r="C16" s="8">
        <f>C15/C5</f>
        <v/>
      </c>
      <c r="D16" s="8">
        <f>D15/D5</f>
        <v/>
      </c>
      <c r="E16" s="8">
        <f>E15/E5</f>
        <v/>
      </c>
      <c r="F16" s="8">
        <f>F15/F5</f>
        <v/>
      </c>
      <c r="G16" s="2" t="n"/>
      <c r="H16" s="2" t="n"/>
    </row>
    <row r="17">
      <c r="A17" s="2" t="inlineStr">
        <is>
          <t>EBITDA</t>
        </is>
      </c>
      <c r="B17" s="9">
        <f>B8+B12</f>
        <v/>
      </c>
      <c r="C17" s="9">
        <f>C8+C12</f>
        <v/>
      </c>
      <c r="D17" s="9">
        <f>D8+D12</f>
        <v/>
      </c>
      <c r="E17" s="9">
        <f>E8+E12</f>
        <v/>
      </c>
      <c r="F17" s="9">
        <f>F8+F12</f>
        <v/>
      </c>
      <c r="G17" s="2" t="n"/>
      <c r="H17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WACC Calculation</t>
        </is>
      </c>
      <c r="B1" s="32" t="n"/>
      <c r="C1" s="32" t="n"/>
      <c r="D1" s="32" t="n"/>
      <c r="E1" s="32" t="n"/>
    </row>
    <row r="2">
      <c r="A2" s="2" t="n"/>
      <c r="B2" s="2" t="n"/>
      <c r="C2" s="2" t="n"/>
      <c r="D2" s="2" t="n"/>
      <c r="E2" s="2" t="n"/>
    </row>
    <row r="3">
      <c r="A3" s="6" t="inlineStr">
        <is>
          <t>Item</t>
        </is>
      </c>
      <c r="B3" s="6" t="inlineStr">
        <is>
          <t>Value</t>
        </is>
      </c>
      <c r="C3" s="6" t="inlineStr">
        <is>
          <t>Source / Formula</t>
        </is>
      </c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inlineStr">
        <is>
          <t>Share Price</t>
        </is>
      </c>
      <c r="B5" s="16">
        <f>Assumptions!B4</f>
        <v/>
      </c>
      <c r="C5" s="2" t="inlineStr">
        <is>
          <t>Yahoo chart API</t>
        </is>
      </c>
      <c r="D5" s="2" t="n"/>
      <c r="E5" s="2" t="n"/>
    </row>
    <row r="6">
      <c r="A6" s="2" t="inlineStr">
        <is>
          <t>Shares</t>
        </is>
      </c>
      <c r="B6" s="17">
        <f>Assumptions!B5</f>
        <v/>
      </c>
      <c r="C6" s="2" t="inlineStr">
        <is>
          <t>Latest 10-Q as-converted</t>
        </is>
      </c>
      <c r="D6" s="2" t="n"/>
      <c r="E6" s="2" t="n"/>
    </row>
    <row r="7">
      <c r="A7" s="2" t="inlineStr">
        <is>
          <t>Market Value of Equity</t>
        </is>
      </c>
      <c r="B7" s="13">
        <f>B5*B6</f>
        <v/>
      </c>
      <c r="C7" s="2" t="inlineStr">
        <is>
          <t>Price x shares</t>
        </is>
      </c>
      <c r="D7" s="2" t="n"/>
      <c r="E7" s="2" t="n"/>
    </row>
    <row r="8">
      <c r="A8" s="2" t="inlineStr">
        <is>
          <t>Debt</t>
        </is>
      </c>
      <c r="B8" s="16">
        <f>Assumptions!B9</f>
        <v/>
      </c>
      <c r="C8" s="2" t="inlineStr">
        <is>
          <t>Latest balance sheet</t>
        </is>
      </c>
      <c r="D8" s="2" t="n"/>
      <c r="E8" s="2" t="n"/>
    </row>
    <row r="9">
      <c r="A9" s="2" t="inlineStr">
        <is>
          <t>Risk-free Rate</t>
        </is>
      </c>
      <c r="B9" s="18">
        <f>Assumptions!B15</f>
        <v/>
      </c>
      <c r="C9" s="2" t="inlineStr">
        <is>
          <t>FRED DGS10</t>
        </is>
      </c>
      <c r="D9" s="2" t="n"/>
      <c r="E9" s="2" t="n"/>
    </row>
    <row r="10">
      <c r="A10" s="2" t="inlineStr">
        <is>
          <t>Beta</t>
        </is>
      </c>
      <c r="B10" s="17">
        <f>Assumptions!B16</f>
        <v/>
      </c>
      <c r="C10" s="2" t="inlineStr">
        <is>
          <t>5y weekly V vs SPY</t>
        </is>
      </c>
      <c r="D10" s="2" t="n"/>
      <c r="E10" s="2" t="n"/>
    </row>
    <row r="11">
      <c r="A11" s="2" t="inlineStr">
        <is>
          <t>ERP</t>
        </is>
      </c>
      <c r="B11" s="18">
        <f>Assumptions!B17</f>
        <v/>
      </c>
      <c r="C11" s="2" t="inlineStr">
        <is>
          <t>Analyst assumption</t>
        </is>
      </c>
      <c r="D11" s="2" t="n"/>
      <c r="E11" s="2" t="n"/>
    </row>
    <row r="12">
      <c r="A12" s="2" t="inlineStr">
        <is>
          <t>Cost of Equity</t>
        </is>
      </c>
      <c r="B12" s="8">
        <f>B9+B10*B11</f>
        <v/>
      </c>
      <c r="C12" s="2" t="inlineStr">
        <is>
          <t>CAPM</t>
        </is>
      </c>
      <c r="D12" s="2" t="n"/>
      <c r="E12" s="2" t="n"/>
    </row>
    <row r="13">
      <c r="A13" s="2" t="inlineStr">
        <is>
          <t>Pre-tax Cost of Debt</t>
        </is>
      </c>
      <c r="B13" s="18">
        <f>Assumptions!B18</f>
        <v/>
      </c>
      <c r="C13" s="2" t="inlineStr">
        <is>
          <t>FRED AAA corporate yield</t>
        </is>
      </c>
      <c r="D13" s="2" t="n"/>
      <c r="E13" s="2" t="n"/>
    </row>
    <row r="14">
      <c r="A14" s="2" t="inlineStr">
        <is>
          <t>Tax Rate</t>
        </is>
      </c>
      <c r="B14" s="18">
        <f>Assumptions!B19</f>
        <v/>
      </c>
      <c r="C14" s="2" t="inlineStr">
        <is>
          <t>Normalized</t>
        </is>
      </c>
      <c r="D14" s="2" t="n"/>
      <c r="E14" s="2" t="n"/>
    </row>
    <row r="15">
      <c r="A15" s="2" t="inlineStr">
        <is>
          <t>After-tax Cost of Debt</t>
        </is>
      </c>
      <c r="B15" s="8">
        <f>B13*(1-B14)</f>
        <v/>
      </c>
      <c r="C15" s="2" t="inlineStr">
        <is>
          <t>Kd x (1-tax)</t>
        </is>
      </c>
      <c r="D15" s="2" t="n"/>
      <c r="E15" s="2" t="n"/>
    </row>
    <row r="16">
      <c r="A16" s="2" t="inlineStr">
        <is>
          <t>Equity Weight</t>
        </is>
      </c>
      <c r="B16" s="8">
        <f>B7/(B7+B8)</f>
        <v/>
      </c>
      <c r="C16" s="2" t="inlineStr">
        <is>
          <t>Market-value weight</t>
        </is>
      </c>
      <c r="D16" s="2" t="n"/>
      <c r="E16" s="2" t="n"/>
    </row>
    <row r="17">
      <c r="A17" s="2" t="inlineStr">
        <is>
          <t>Debt Weight</t>
        </is>
      </c>
      <c r="B17" s="8">
        <f>B8/(B7+B8)</f>
        <v/>
      </c>
      <c r="C17" s="2" t="inlineStr">
        <is>
          <t>Market-value weight</t>
        </is>
      </c>
      <c r="D17" s="2" t="n"/>
      <c r="E17" s="2" t="n"/>
    </row>
    <row r="18">
      <c r="A18" s="2" t="inlineStr">
        <is>
          <t>WACC</t>
        </is>
      </c>
      <c r="B18" s="19">
        <f>B12*B16+B15*B17</f>
        <v/>
      </c>
      <c r="C18" s="2" t="inlineStr">
        <is>
          <t>Weighted average</t>
        </is>
      </c>
      <c r="D18" s="2" t="n"/>
      <c r="E18" s="2" t="n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Base Case DCF Valuation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Fiscal year</t>
        </is>
      </c>
      <c r="B3" s="6" t="inlineStr">
        <is>
          <t>FY26E</t>
        </is>
      </c>
      <c r="C3" s="6" t="inlineStr">
        <is>
          <t>FY27E</t>
        </is>
      </c>
      <c r="D3" s="6" t="inlineStr">
        <is>
          <t>FY28E</t>
        </is>
      </c>
      <c r="E3" s="6" t="inlineStr">
        <is>
          <t>FY29E</t>
        </is>
      </c>
      <c r="F3" s="6" t="inlineStr">
        <is>
          <t>FY30E</t>
        </is>
      </c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Unlevered FCF</t>
        </is>
      </c>
      <c r="B5" s="20">
        <f>Forecast!B15</f>
        <v/>
      </c>
      <c r="C5" s="20">
        <f>Forecast!C15</f>
        <v/>
      </c>
      <c r="D5" s="20">
        <f>Forecast!D15</f>
        <v/>
      </c>
      <c r="E5" s="20">
        <f>Forecast!E15</f>
        <v/>
      </c>
      <c r="F5" s="20">
        <f>Forecast!F15</f>
        <v/>
      </c>
      <c r="G5" s="2" t="n"/>
      <c r="H5" s="2" t="n"/>
    </row>
    <row r="6">
      <c r="A6" s="2" t="inlineStr">
        <is>
          <t>Discount Period</t>
        </is>
      </c>
      <c r="B6" s="2" t="n">
        <v>0.5</v>
      </c>
      <c r="C6" s="2" t="n">
        <v>1.5</v>
      </c>
      <c r="D6" s="2" t="n">
        <v>2.5</v>
      </c>
      <c r="E6" s="2" t="n">
        <v>3.5</v>
      </c>
      <c r="F6" s="2" t="n">
        <v>4.5</v>
      </c>
      <c r="G6" s="2" t="n"/>
      <c r="H6" s="2" t="n"/>
    </row>
    <row r="7">
      <c r="A7" s="2" t="inlineStr">
        <is>
          <t>Discount Factor</t>
        </is>
      </c>
      <c r="B7" s="21">
        <f>1/(1+$B$12)^B6</f>
        <v/>
      </c>
      <c r="C7" s="21">
        <f>1/(1+$B$12)^C6</f>
        <v/>
      </c>
      <c r="D7" s="21">
        <f>1/(1+$B$12)^D6</f>
        <v/>
      </c>
      <c r="E7" s="21">
        <f>1/(1+$B$12)^E6</f>
        <v/>
      </c>
      <c r="F7" s="21">
        <f>1/(1+$B$12)^F6</f>
        <v/>
      </c>
      <c r="G7" s="2" t="n"/>
      <c r="H7" s="2" t="n"/>
    </row>
    <row r="8">
      <c r="A8" s="2" t="inlineStr">
        <is>
          <t>PV of FCF</t>
        </is>
      </c>
      <c r="B8" s="20">
        <f>B5*B7</f>
        <v/>
      </c>
      <c r="C8" s="20">
        <f>C5*C7</f>
        <v/>
      </c>
      <c r="D8" s="20">
        <f>D5*D7</f>
        <v/>
      </c>
      <c r="E8" s="20">
        <f>E5*E7</f>
        <v/>
      </c>
      <c r="F8" s="20">
        <f>F5*F7</f>
        <v/>
      </c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WACC</t>
        </is>
      </c>
      <c r="B12" s="18">
        <f>WACC!B18</f>
        <v/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Terminal Growth</t>
        </is>
      </c>
      <c r="B13" s="18">
        <f>Assumptions!B20</f>
        <v/>
      </c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PV Explicit FCFs</t>
        </is>
      </c>
      <c r="B15" s="13">
        <f>SUM(B8:F8)</f>
        <v/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Terminal FCF</t>
        </is>
      </c>
      <c r="B16" s="13">
        <f>F5</f>
        <v/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Terminal Value</t>
        </is>
      </c>
      <c r="B17" s="13">
        <f>B16*(1+B13)/(B12-B13)</f>
        <v/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PV Terminal Value</t>
        </is>
      </c>
      <c r="B18" s="13">
        <f>B17/(1+B12)^5</f>
        <v/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Enterprise Value</t>
        </is>
      </c>
      <c r="B19" s="33">
        <f>B15+B18</f>
        <v/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Cash + Investments</t>
        </is>
      </c>
      <c r="B20" s="34">
        <f>Assumptions!B10</f>
        <v/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Debt</t>
        </is>
      </c>
      <c r="B21" s="16">
        <f>Assumptions!B9</f>
        <v/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Equity Value</t>
        </is>
      </c>
      <c r="B22" s="33">
        <f>B19+B20-B21</f>
        <v/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Shares</t>
        </is>
      </c>
      <c r="B23" s="35">
        <f>Assumptions!B5</f>
        <v/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Implied Share Price</t>
        </is>
      </c>
      <c r="B24" s="33">
        <f>B22/B23</f>
        <v/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Current Share Price</t>
        </is>
      </c>
      <c r="B25" s="34">
        <f>Assumptions!B4</f>
        <v/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Upside / (Downside)</t>
        </is>
      </c>
      <c r="B26" s="36">
        <f>B24/B25-1</f>
        <v/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Terminal Value % EV</t>
        </is>
      </c>
      <c r="B27" s="37">
        <f>B18/B19</f>
        <v/>
      </c>
      <c r="C27" s="2" t="n"/>
      <c r="D27" s="2" t="n"/>
      <c r="E27" s="2" t="n"/>
      <c r="F27" s="2" t="n"/>
      <c r="G27" s="2" t="n"/>
      <c r="H27" s="2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Football Field Valuation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Method</t>
        </is>
      </c>
      <c r="B3" s="6" t="inlineStr">
        <is>
          <t>Low</t>
        </is>
      </c>
      <c r="C3" s="6" t="inlineStr">
        <is>
          <t>High</t>
        </is>
      </c>
      <c r="D3" s="6" t="inlineStr">
        <is>
          <t>Midpoint</t>
        </is>
      </c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DCF Sensitivity</t>
        </is>
      </c>
      <c r="B5" s="15" t="n">
        <v>241.079398276118</v>
      </c>
      <c r="C5" s="15" t="n">
        <v>352.7645783713744</v>
      </c>
      <c r="D5" s="13">
        <f>AVERAGE(B5:C5)</f>
        <v/>
      </c>
      <c r="E5" s="2" t="n"/>
      <c r="F5" s="2" t="n"/>
      <c r="G5" s="2" t="n"/>
      <c r="H5" s="2" t="n"/>
    </row>
    <row r="6">
      <c r="A6" s="2" t="inlineStr">
        <is>
          <t>Scenario DCF</t>
        </is>
      </c>
      <c r="B6" s="15" t="n">
        <v>179.8808070679156</v>
      </c>
      <c r="C6" s="15" t="n">
        <v>398.9085821089244</v>
      </c>
      <c r="D6" s="13">
        <f>AVERAGE(B6:C6)</f>
        <v/>
      </c>
      <c r="E6" s="2" t="n"/>
      <c r="F6" s="2" t="n"/>
      <c r="G6" s="2" t="n"/>
      <c r="H6" s="2" t="n"/>
    </row>
    <row r="7">
      <c r="A7" s="2" t="inlineStr">
        <is>
          <t>FY26E EV/EBITDA (19.0x–25.0x)</t>
        </is>
      </c>
      <c r="B7" s="15" t="n">
        <v>290.4274464783526</v>
      </c>
      <c r="C7" s="15" t="n">
        <v>383.7678427930305</v>
      </c>
      <c r="D7" s="13">
        <f>AVERAGE(B7:C7)</f>
        <v/>
      </c>
      <c r="E7" s="2" t="n"/>
      <c r="F7" s="2" t="n"/>
      <c r="G7" s="2" t="n"/>
      <c r="H7" s="2" t="n"/>
    </row>
    <row r="8">
      <c r="A8" s="2" t="inlineStr">
        <is>
          <t>FY26E P/E (23.0x–31.0x)</t>
        </is>
      </c>
      <c r="B8" s="15" t="n">
        <v>276.2296766277719</v>
      </c>
      <c r="C8" s="15" t="n">
        <v>372.3095641504751</v>
      </c>
      <c r="D8" s="13">
        <f>AVERAGE(B8:C8)</f>
        <v/>
      </c>
      <c r="E8" s="2" t="n"/>
      <c r="F8" s="2" t="n"/>
      <c r="G8" s="2" t="n"/>
      <c r="H8" s="2" t="n"/>
    </row>
    <row r="9">
      <c r="A9" s="2" t="inlineStr">
        <is>
          <t>52-week trading range</t>
        </is>
      </c>
      <c r="B9" s="15" t="n">
        <v>293.89</v>
      </c>
      <c r="C9" s="15" t="n">
        <v>365.02</v>
      </c>
      <c r="D9" s="13">
        <f>AVERAGE(B9:C9)</f>
        <v/>
      </c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Current Share Price</t>
        </is>
      </c>
      <c r="B12" s="16">
        <f>Assumptions!B4</f>
        <v/>
      </c>
      <c r="C12" s="2" t="n"/>
      <c r="D12" s="2" t="n"/>
      <c r="E12" s="2" t="n"/>
      <c r="F12" s="2" t="n"/>
      <c r="G12" s="2" t="n"/>
      <c r="H12" s="2" t="n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Valuation Bridge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Bridge Item</t>
        </is>
      </c>
      <c r="B3" s="6" t="inlineStr">
        <is>
          <t>Value</t>
        </is>
      </c>
      <c r="C3" s="6" t="inlineStr">
        <is>
          <t>Comment</t>
        </is>
      </c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inlineStr">
        <is>
          <t>Enterprise Value</t>
        </is>
      </c>
      <c r="B5" s="16">
        <f>DCF!B19</f>
        <v/>
      </c>
      <c r="C5" s="2" t="inlineStr">
        <is>
          <t>DCF-derived enterprise value</t>
        </is>
      </c>
      <c r="D5" s="2" t="n"/>
      <c r="E5" s="2" t="n"/>
      <c r="F5" s="2" t="n"/>
      <c r="G5" s="2" t="n"/>
    </row>
    <row r="6">
      <c r="A6" s="2" t="inlineStr">
        <is>
          <t>Add: Cash + Investments</t>
        </is>
      </c>
      <c r="B6" s="16">
        <f>DCF!B20</f>
        <v/>
      </c>
      <c r="C6" s="2" t="inlineStr">
        <is>
          <t>Non-operating cash and investment securities</t>
        </is>
      </c>
      <c r="D6" s="2" t="n"/>
      <c r="E6" s="2" t="n"/>
      <c r="F6" s="2" t="n"/>
      <c r="G6" s="2" t="n"/>
    </row>
    <row r="7">
      <c r="A7" s="2" t="inlineStr">
        <is>
          <t>Less: Debt</t>
        </is>
      </c>
      <c r="B7" s="16">
        <f>-DCF!B21</f>
        <v/>
      </c>
      <c r="C7" s="2" t="inlineStr">
        <is>
          <t>Debt deducted to equity value</t>
        </is>
      </c>
      <c r="D7" s="2" t="n"/>
      <c r="E7" s="2" t="n"/>
      <c r="F7" s="2" t="n"/>
      <c r="G7" s="2" t="n"/>
    </row>
    <row r="8">
      <c r="A8" s="2" t="inlineStr">
        <is>
          <t>Equity Value</t>
        </is>
      </c>
      <c r="B8" s="33">
        <f>SUM(B5:B7)</f>
        <v/>
      </c>
      <c r="C8" s="2" t="inlineStr">
        <is>
          <t>Implied market capitalization</t>
        </is>
      </c>
      <c r="D8" s="2" t="n"/>
      <c r="E8" s="2" t="n"/>
      <c r="F8" s="2" t="n"/>
      <c r="G8" s="2" t="n"/>
    </row>
    <row r="9">
      <c r="A9" s="2" t="inlineStr">
        <is>
          <t>Shares Outstanding</t>
        </is>
      </c>
      <c r="B9" s="17">
        <f>DCF!B23</f>
        <v/>
      </c>
      <c r="C9" s="2" t="inlineStr">
        <is>
          <t>Diluted / as-converted shares</t>
        </is>
      </c>
      <c r="D9" s="2" t="n"/>
      <c r="E9" s="2" t="n"/>
      <c r="F9" s="2" t="n"/>
      <c r="G9" s="2" t="n"/>
    </row>
    <row r="10">
      <c r="A10" s="2" t="inlineStr">
        <is>
          <t>Implied Share Price</t>
        </is>
      </c>
      <c r="B10" s="33">
        <f>B8/B9</f>
        <v/>
      </c>
      <c r="C10" s="2" t="inlineStr">
        <is>
          <t>Equity value per share</t>
        </is>
      </c>
      <c r="D10" s="2" t="n"/>
      <c r="E10" s="2" t="n"/>
      <c r="F10" s="2" t="n"/>
      <c r="G10" s="2" t="n"/>
    </row>
    <row r="11">
      <c r="A11" s="2" t="inlineStr">
        <is>
          <t>Current Share Price</t>
        </is>
      </c>
      <c r="B11" s="16">
        <f>DCF!B25</f>
        <v/>
      </c>
      <c r="C11" s="2" t="inlineStr">
        <is>
          <t>Latest market price</t>
        </is>
      </c>
      <c r="D11" s="2" t="n"/>
      <c r="E11" s="2" t="n"/>
      <c r="F11" s="2" t="n"/>
      <c r="G11" s="2" t="n"/>
    </row>
    <row r="12">
      <c r="A12" s="2" t="inlineStr">
        <is>
          <t>Value Gap</t>
        </is>
      </c>
      <c r="B12" s="38">
        <f>B10-B11</f>
        <v/>
      </c>
      <c r="C12" s="2" t="inlineStr">
        <is>
          <t>DCF less current price</t>
        </is>
      </c>
      <c r="D12" s="2" t="n"/>
      <c r="E12" s="2" t="n"/>
      <c r="F12" s="2" t="n"/>
      <c r="G12" s="2" t="n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Sensitivity Analysis — Implied Share Price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WACC \ Terminal Growth</t>
        </is>
      </c>
      <c r="B3" s="25" t="n">
        <v>0.025</v>
      </c>
      <c r="C3" s="25" t="n">
        <v>0.03</v>
      </c>
      <c r="D3" s="25" t="n">
        <v>0.035</v>
      </c>
      <c r="E3" s="25" t="n">
        <v>0.04</v>
      </c>
      <c r="F3" s="25" t="n">
        <v>0.045</v>
      </c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6" t="n">
        <v>0.075</v>
      </c>
      <c r="B5" s="15" t="n">
        <v>295.8242595265198</v>
      </c>
      <c r="C5" s="15" t="n">
        <v>323.9039977406462</v>
      </c>
      <c r="D5" s="15" t="n">
        <v>359.0036705083039</v>
      </c>
      <c r="E5" s="15" t="n">
        <v>404.1318212095782</v>
      </c>
      <c r="F5" s="15" t="n">
        <v>464.3026888112772</v>
      </c>
      <c r="G5" s="2" t="n"/>
      <c r="H5" s="2" t="n"/>
    </row>
    <row r="6">
      <c r="A6" s="26" t="n">
        <v>0.08</v>
      </c>
      <c r="B6" s="15" t="n">
        <v>268.1952305088134</v>
      </c>
      <c r="C6" s="15" t="n">
        <v>290.7470566054963</v>
      </c>
      <c r="D6" s="15" t="n">
        <v>318.3103996125532</v>
      </c>
      <c r="E6" s="15" t="n">
        <v>352.7645783713744</v>
      </c>
      <c r="F6" s="15" t="n">
        <v>397.0628082041443</v>
      </c>
      <c r="G6" s="2" t="n"/>
      <c r="H6" s="2" t="n"/>
    </row>
    <row r="7">
      <c r="A7" s="26" t="n">
        <v>0.08500000000000001</v>
      </c>
      <c r="B7" s="15" t="n">
        <v>245.1944710502846</v>
      </c>
      <c r="C7" s="15" t="n">
        <v>263.6436284923698</v>
      </c>
      <c r="D7" s="15" t="n">
        <v>285.782617422872</v>
      </c>
      <c r="E7" s="15" t="n">
        <v>312.8413816712634</v>
      </c>
      <c r="F7" s="15" t="n">
        <v>346.6648369817528</v>
      </c>
      <c r="G7" s="2" t="n"/>
      <c r="H7" s="2" t="n"/>
    </row>
    <row r="8">
      <c r="A8" s="26" t="n">
        <v>0.09</v>
      </c>
      <c r="B8" s="15" t="n">
        <v>225.7530450362197</v>
      </c>
      <c r="C8" s="15" t="n">
        <v>241.079398276118</v>
      </c>
      <c r="D8" s="15" t="n">
        <v>259.1923611959977</v>
      </c>
      <c r="E8" s="15" t="n">
        <v>280.9279166998534</v>
      </c>
      <c r="F8" s="15" t="n">
        <v>307.4935956490103</v>
      </c>
      <c r="G8" s="2" t="n"/>
      <c r="H8" s="2" t="n"/>
    </row>
    <row r="9">
      <c r="A9" s="26" t="n">
        <v>0.095</v>
      </c>
      <c r="B9" s="15" t="n">
        <v>209.1074611459389</v>
      </c>
      <c r="C9" s="15" t="n">
        <v>222.0060308911107</v>
      </c>
      <c r="D9" s="15" t="n">
        <v>237.0543622604778</v>
      </c>
      <c r="E9" s="15" t="n">
        <v>254.8387538788207</v>
      </c>
      <c r="F9" s="15" t="n">
        <v>276.1800238208322</v>
      </c>
      <c r="G9" s="2" t="n"/>
      <c r="H9" s="2" t="n"/>
    </row>
  </sheetData>
  <mergeCells count="1">
    <mergeCell ref="A1:H1"/>
  </mergeCells>
  <conditionalFormatting sqref="B5:F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Charts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5" t="inlineStr">
        <is>
          <t>Chart 1: Net Revenue &amp; Unlevered FCF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>
        <v>2020</v>
      </c>
      <c r="C5" s="2" t="n">
        <v>2021</v>
      </c>
      <c r="D5" s="2" t="n">
        <v>2022</v>
      </c>
      <c r="E5" s="2" t="n">
        <v>2023</v>
      </c>
      <c r="F5" s="2" t="n">
        <v>2024</v>
      </c>
      <c r="G5" s="2" t="n">
        <v>2025</v>
      </c>
      <c r="H5" s="2" t="n">
        <v>2026</v>
      </c>
      <c r="I5" s="2" t="n">
        <v>2027</v>
      </c>
      <c r="J5" s="2" t="n">
        <v>2028</v>
      </c>
      <c r="K5" s="2" t="n">
        <v>2029</v>
      </c>
      <c r="L5" s="2" t="n">
        <v>2030</v>
      </c>
    </row>
    <row r="6">
      <c r="A6" s="2" t="inlineStr">
        <is>
          <t>Net Revenue</t>
        </is>
      </c>
      <c r="B6" s="2" t="n">
        <v>21846</v>
      </c>
      <c r="C6" s="2" t="n">
        <v>24105</v>
      </c>
      <c r="D6" s="2" t="n">
        <v>29310</v>
      </c>
      <c r="E6" s="2" t="n">
        <v>32653</v>
      </c>
      <c r="F6" s="2" t="n">
        <v>35926</v>
      </c>
      <c r="G6" s="2" t="n">
        <v>40000</v>
      </c>
      <c r="H6" s="2" t="n">
        <v>44575.56999999999</v>
      </c>
      <c r="I6" s="2" t="n">
        <v>49055.337825</v>
      </c>
      <c r="J6" s="2" t="n">
        <v>53411.20011037499</v>
      </c>
      <c r="K6" s="2" t="n">
        <v>57471.28728487687</v>
      </c>
      <c r="L6" s="2" t="n">
        <v>61323.47140558129</v>
      </c>
    </row>
    <row r="7">
      <c r="A7" s="2" t="inlineStr">
        <is>
          <t>FCF</t>
        </is>
      </c>
      <c r="B7" s="2" t="n">
        <v>9704</v>
      </c>
      <c r="C7" s="2" t="n">
        <v>14522</v>
      </c>
      <c r="D7" s="2" t="n">
        <v>17879</v>
      </c>
      <c r="E7" s="2" t="n">
        <v>19696</v>
      </c>
      <c r="F7" s="2" t="n">
        <v>18693</v>
      </c>
      <c r="G7" s="2" t="n">
        <v>21577</v>
      </c>
      <c r="H7" s="2" t="n">
        <v>22501.15767099999</v>
      </c>
      <c r="I7" s="2" t="n">
        <v>25162.61160023</v>
      </c>
      <c r="J7" s="2" t="n">
        <v>27615.84618568667</v>
      </c>
      <c r="K7" s="2" t="n">
        <v>29950.97588319079</v>
      </c>
      <c r="L7" s="2" t="n">
        <v>31960.92941740713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6" t="inlineStr">
        <is>
          <t>Scenario</t>
        </is>
      </c>
      <c r="B25" s="6" t="inlineStr">
        <is>
          <t>Implied Share Price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Bear</t>
        </is>
      </c>
      <c r="B26" s="27" t="n">
        <v>179.8808070679156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Base</t>
        </is>
      </c>
      <c r="B27" s="27" t="n">
        <v>284.5397691660381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Bull</t>
        </is>
      </c>
      <c r="B28" s="27" t="n">
        <v>398.9085821089244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Appendix — Sources &amp; Audit Trail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Source</t>
        </is>
      </c>
      <c r="B3" s="6" t="inlineStr">
        <is>
          <t>Use</t>
        </is>
      </c>
      <c r="C3" s="6" t="inlineStr">
        <is>
          <t>Details</t>
        </is>
      </c>
      <c r="D3" s="2" t="n"/>
      <c r="E3" s="2" t="n"/>
      <c r="F3" s="2" t="n"/>
      <c r="G3" s="2" t="n"/>
      <c r="H3" s="2" t="n"/>
    </row>
    <row r="4">
      <c r="A4" s="3" t="inlineStr">
        <is>
          <t>Visa FY2025 Form 10-K</t>
        </is>
      </c>
      <c r="B4" s="3" t="inlineStr">
        <is>
          <t>Historical financials; revenue category data; business description</t>
        </is>
      </c>
      <c r="C4" s="3" t="inlineStr">
        <is>
          <t>Filed 2025-11-06 for period 2025-09-30</t>
        </is>
      </c>
      <c r="D4" s="2" t="n"/>
      <c r="E4" s="2" t="n"/>
      <c r="F4" s="2" t="n"/>
      <c r="G4" s="2" t="n"/>
      <c r="H4" s="2" t="n"/>
    </row>
    <row r="5">
      <c r="A5" s="3" t="inlineStr">
        <is>
          <t>Visa latest Form 10-Q</t>
        </is>
      </c>
      <c r="B5" s="3" t="inlineStr">
        <is>
          <t>Share count; latest balance sheet context</t>
        </is>
      </c>
      <c r="C5" s="3" t="inlineStr">
        <is>
          <t>Filed 2026-04-29 for period 2026-03-31</t>
        </is>
      </c>
      <c r="D5" s="2" t="n"/>
      <c r="E5" s="2" t="n"/>
      <c r="F5" s="2" t="n"/>
      <c r="G5" s="2" t="n"/>
      <c r="H5" s="2" t="n"/>
    </row>
    <row r="6">
      <c r="A6" s="3" t="inlineStr">
        <is>
          <t>SEC Company Facts API</t>
        </is>
      </c>
      <c r="B6" s="3" t="inlineStr">
        <is>
          <t>Historical statements and balance sheet line items</t>
        </is>
      </c>
      <c r="C6" s="3" t="inlineStr">
        <is>
          <t>CIK 0001403161</t>
        </is>
      </c>
      <c r="D6" s="2" t="n"/>
      <c r="E6" s="2" t="n"/>
      <c r="F6" s="2" t="n"/>
      <c r="G6" s="2" t="n"/>
      <c r="H6" s="2" t="n"/>
    </row>
    <row r="7">
      <c r="A7" s="3" t="inlineStr">
        <is>
          <t>Yahoo Finance chart API</t>
        </is>
      </c>
      <c r="B7" s="3" t="inlineStr">
        <is>
          <t>Current share price, 52-week range, beta price series</t>
        </is>
      </c>
      <c r="C7" s="3" t="inlineStr">
        <is>
          <t>Price date 2026-07-07</t>
        </is>
      </c>
      <c r="D7" s="2" t="n"/>
      <c r="E7" s="2" t="n"/>
      <c r="F7" s="2" t="n"/>
      <c r="G7" s="2" t="n"/>
      <c r="H7" s="2" t="n"/>
    </row>
    <row r="8">
      <c r="A8" s="3" t="inlineStr">
        <is>
          <t>FRED DGS10</t>
        </is>
      </c>
      <c r="B8" s="3" t="inlineStr">
        <is>
          <t>Risk-free rate</t>
        </is>
      </c>
      <c r="C8" s="3" t="inlineStr">
        <is>
          <t>4.48% as of 2026-07-06</t>
        </is>
      </c>
      <c r="D8" s="2" t="n"/>
      <c r="E8" s="2" t="n"/>
      <c r="F8" s="2" t="n"/>
      <c r="G8" s="2" t="n"/>
      <c r="H8" s="2" t="n"/>
    </row>
    <row r="9">
      <c r="A9" s="3" t="inlineStr">
        <is>
          <t>FRED ICE BofA AAA Corporate Yield</t>
        </is>
      </c>
      <c r="B9" s="3" t="inlineStr">
        <is>
          <t>Pre-tax cost of debt proxy</t>
        </is>
      </c>
      <c r="C9" s="3" t="inlineStr">
        <is>
          <t>5.07% as of 2026-07-06</t>
        </is>
      </c>
      <c r="D9" s="2" t="n"/>
      <c r="E9" s="2" t="n"/>
      <c r="F9" s="2" t="n"/>
      <c r="G9" s="2" t="n"/>
      <c r="H9" s="2" t="n"/>
    </row>
    <row r="10">
      <c r="A10" s="3" t="inlineStr">
        <is>
          <t>Analyst assumptions</t>
        </is>
      </c>
      <c r="B10" s="3" t="inlineStr">
        <is>
          <t>ERP, forecast category growth, margins, terminal growth</t>
        </is>
      </c>
      <c r="C10" s="3" t="inlineStr">
        <is>
          <t>Documented on Assumptions / Revenue Build / Scenarios tabs</t>
        </is>
      </c>
      <c r="D10" s="2" t="n"/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Key Investment Risks &amp; Diligence Questions</t>
        </is>
      </c>
      <c r="B1" s="32" t="n"/>
      <c r="C1" s="32" t="n"/>
      <c r="D1" s="32" t="n"/>
      <c r="E1" s="32" t="n"/>
      <c r="F1" s="32" t="n"/>
      <c r="G1" s="32" t="n"/>
      <c r="H1" s="3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Risk</t>
        </is>
      </c>
      <c r="B3" s="6" t="inlineStr">
        <is>
          <t>Why It Matters</t>
        </is>
      </c>
      <c r="C3" s="6" t="inlineStr">
        <is>
          <t>Diligence / Monitoring</t>
        </is>
      </c>
      <c r="D3" s="2" t="n"/>
      <c r="E3" s="2" t="n"/>
      <c r="F3" s="2" t="n"/>
      <c r="G3" s="2" t="n"/>
      <c r="H3" s="2" t="n"/>
    </row>
    <row r="4">
      <c r="A4" s="3" t="inlineStr">
        <is>
          <t>Regulatory / interchange</t>
        </is>
      </c>
      <c r="B4" s="3" t="inlineStr">
        <is>
          <t>Network fees, routing and interchange caps can pressure yields or incentive intensity.</t>
        </is>
      </c>
      <c r="C4" s="3" t="inlineStr">
        <is>
          <t>Track DOJ / EU / local card network actions and settlement outcomes.</t>
        </is>
      </c>
      <c r="D4" s="2" t="n"/>
      <c r="E4" s="2" t="n"/>
      <c r="F4" s="2" t="n"/>
      <c r="G4" s="2" t="n"/>
      <c r="H4" s="2" t="n"/>
    </row>
    <row r="5">
      <c r="A5" s="3" t="inlineStr">
        <is>
          <t>Client incentives</t>
        </is>
      </c>
      <c r="B5" s="3" t="inlineStr">
        <is>
          <t>Competitive renewals can consume gross revenue growth.</t>
        </is>
      </c>
      <c r="C5" s="3" t="inlineStr">
        <is>
          <t>Monitor incentives as % gross revenue and renewal commentary.</t>
        </is>
      </c>
      <c r="D5" s="2" t="n"/>
      <c r="E5" s="2" t="n"/>
      <c r="F5" s="2" t="n"/>
      <c r="G5" s="2" t="n"/>
      <c r="H5" s="2" t="n"/>
    </row>
    <row r="6">
      <c r="A6" s="3" t="inlineStr">
        <is>
          <t>Macro / cross-border</t>
        </is>
      </c>
      <c r="B6" s="3" t="inlineStr">
        <is>
          <t>Travel and consumer spend are cyclical and FX-sensitive.</t>
        </is>
      </c>
      <c r="C6" s="3" t="inlineStr">
        <is>
          <t>Track cross-border ex intra-Europe and travel corridors.</t>
        </is>
      </c>
      <c r="D6" s="2" t="n"/>
      <c r="E6" s="2" t="n"/>
      <c r="F6" s="2" t="n"/>
      <c r="G6" s="2" t="n"/>
      <c r="H6" s="2" t="n"/>
    </row>
    <row r="7">
      <c r="A7" s="3" t="inlineStr">
        <is>
          <t>Competition</t>
        </is>
      </c>
      <c r="B7" s="3" t="inlineStr">
        <is>
          <t>A2A, wallets, RTP, domestic schemes and merchant steering can pressure growth.</t>
        </is>
      </c>
      <c r="C7" s="3" t="inlineStr">
        <is>
          <t>Track acceptance, tokenization and account-to-account adoption.</t>
        </is>
      </c>
      <c r="D7" s="2" t="n"/>
      <c r="E7" s="2" t="n"/>
      <c r="F7" s="2" t="n"/>
      <c r="G7" s="2" t="n"/>
      <c r="H7" s="2" t="n"/>
    </row>
    <row r="8">
      <c r="A8" s="3" t="inlineStr">
        <is>
          <t>Cyber / operational resilience</t>
        </is>
      </c>
      <c r="B8" s="3" t="inlineStr">
        <is>
          <t>Network outage or security events could damage trust.</t>
        </is>
      </c>
      <c r="C8" s="3" t="inlineStr">
        <is>
          <t>Review operational resilience disclosures and incident history.</t>
        </is>
      </c>
      <c r="D8" s="2" t="n"/>
      <c r="E8" s="2" t="n"/>
      <c r="F8" s="2" t="n"/>
      <c r="G8" s="2" t="n"/>
      <c r="H8" s="2" t="n"/>
    </row>
    <row r="9">
      <c r="A9" s="3" t="inlineStr">
        <is>
          <t>Valuation sensitivity</t>
        </is>
      </c>
      <c r="B9" s="3" t="inlineStr">
        <is>
          <t>Long-duration cash flows are rate and terminal-growth sensitive.</t>
        </is>
      </c>
      <c r="C9" s="3" t="inlineStr">
        <is>
          <t>Use WACC/g sensitivity and scenario matrix as valuation guardrails.</t>
        </is>
      </c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2026-07-08T00:02:00Z</dcterms:created>
  <dcterms:modified xmlns:dcterms="http://purl.org/dc/terms/" xmlns:xsi="http://www.w3.org/2001/XMLSchema-instance" xsi:type="dcterms:W3CDTF">2026-07-08T00:02:02Z</dcterms:modified>
</cp:coreProperties>
</file>