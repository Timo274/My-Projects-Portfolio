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Cover &amp; Index" sheetId="1" state="visible" r:id="rId1"/>
    <sheet xmlns:r="http://schemas.openxmlformats.org/officeDocument/2006/relationships" name="1. Executive Summary" sheetId="2" state="visible" r:id="rId2"/>
    <sheet xmlns:r="http://schemas.openxmlformats.org/officeDocument/2006/relationships" name="2. Comps Data" sheetId="3" state="visible" r:id="rId3"/>
    <sheet xmlns:r="http://schemas.openxmlformats.org/officeDocument/2006/relationships" name="3. Valuation Bridge" sheetId="4" state="visible" r:id="rId4"/>
    <sheet xmlns:r="http://schemas.openxmlformats.org/officeDocument/2006/relationships" name="4. Methodology" sheetId="5" state="visible" r:id="rId5"/>
    <sheet xmlns:r="http://schemas.openxmlformats.org/officeDocument/2006/relationships" name="5. Assumptions &amp; Sources" sheetId="6" state="visible" r:id="rId6"/>
  </sheets>
  <definedNames>
    <definedName name="_xlnm._FilterDatabase" localSheetId="2" hidden="1">'2. Comps Data'!$A$1:$R$14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$0.00"/>
    <numFmt numFmtId="165" formatCode="$#,##0,,.0"/>
    <numFmt numFmtId="166" formatCode="0.0x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B1F33"/>
      <sz val="20"/>
    </font>
    <font>
      <b val="1"/>
      <color rgb="00FFFFFF"/>
    </font>
    <font>
      <b val="1"/>
    </font>
    <font>
      <b val="1"/>
      <color rgb="00FFFFFF"/>
      <sz val="18"/>
    </font>
    <font>
      <i val="1"/>
      <color rgb="001F1F1F"/>
      <sz val="11"/>
    </font>
    <font>
      <b val="1"/>
      <color rgb="001F1F1F"/>
    </font>
    <font>
      <b val="1"/>
      <color rgb="001F4E78"/>
      <sz val="13"/>
    </font>
    <font>
      <color rgb="001F4E78"/>
      <u val="single"/>
    </font>
    <font>
      <b val="1"/>
      <color rgb="00FFFFFF"/>
      <sz val="16"/>
    </font>
    <font>
      <color rgb="00000000"/>
    </font>
    <font>
      <b val="1"/>
      <color rgb="001F4E78"/>
      <sz val="12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AF3F8"/>
      </patternFill>
    </fill>
  </fills>
  <borders count="5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bottom style="thin">
        <color rgb="00D9D9D9"/>
      </bottom>
    </border>
    <border>
      <top style="medium">
        <color rgb="001F4E78"/>
      </top>
      <bottom style="thin">
        <color rgb="00D9D9D9"/>
      </bottom>
    </border>
    <border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7" fontId="3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0" fillId="4" borderId="0" pivotButton="0" quotePrefix="0" xfId="0"/>
    <xf numFmtId="164" fontId="0" fillId="5" borderId="0" pivotButton="0" quotePrefix="0" xfId="0"/>
    <xf numFmtId="167" fontId="0" fillId="5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6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164" fontId="0" fillId="5" borderId="2" applyAlignment="1" pivotButton="0" quotePrefix="0" xfId="0">
      <alignment vertical="center" wrapText="1"/>
    </xf>
    <xf numFmtId="167" fontId="10" fillId="5" borderId="2" applyAlignment="1" pivotButton="0" quotePrefix="0" xfId="0">
      <alignment vertical="center" wrapText="1"/>
    </xf>
    <xf numFmtId="0" fontId="11" fillId="0" borderId="0" pivotButton="0" quotePrefix="0" xfId="0"/>
    <xf numFmtId="0" fontId="8" fillId="0" borderId="0" pivotButton="0" quotePrefix="0" xfId="0"/>
    <xf numFmtId="0" fontId="6" fillId="6" borderId="2" applyAlignment="1" pivotButton="0" quotePrefix="0" xfId="0">
      <alignment vertical="center" wrapText="1"/>
    </xf>
    <xf numFmtId="165" fontId="6" fillId="6" borderId="2" applyAlignment="1" pivotButton="0" quotePrefix="0" xfId="0">
      <alignment vertical="center" wrapText="1"/>
    </xf>
    <xf numFmtId="166" fontId="6" fillId="6" borderId="2" applyAlignment="1" pivotButton="0" quotePrefix="0" xfId="0">
      <alignment vertical="center" wrapText="1"/>
    </xf>
    <xf numFmtId="167" fontId="6" fillId="6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9" fontId="0" fillId="0" borderId="2" applyAlignment="1" pivotButton="0" quotePrefix="0" xfId="0">
      <alignment vertical="center" wrapText="1"/>
    </xf>
    <xf numFmtId="164" fontId="10" fillId="5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166" fontId="6" fillId="5" borderId="2" applyAlignment="1" pivotButton="0" quotePrefix="0" xfId="0">
      <alignment vertical="center" wrapText="1"/>
    </xf>
    <xf numFmtId="165" fontId="6" fillId="5" borderId="2" applyAlignment="1" pivotButton="0" quotePrefix="0" xfId="0">
      <alignment vertical="center" wrapText="1"/>
    </xf>
    <xf numFmtId="9" fontId="10" fillId="5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166" fontId="6" fillId="4" borderId="2" applyAlignment="1" pivotButton="0" quotePrefix="0" xfId="0">
      <alignment vertical="center" wrapText="1"/>
    </xf>
    <xf numFmtId="165" fontId="6" fillId="4" borderId="2" applyAlignment="1" pivotButton="0" quotePrefix="0" xfId="0">
      <alignment vertical="center" wrapText="1"/>
    </xf>
    <xf numFmtId="164" fontId="10" fillId="4" borderId="2" applyAlignment="1" pivotButton="0" quotePrefix="0" xfId="0">
      <alignment vertical="center" wrapText="1"/>
    </xf>
    <xf numFmtId="9" fontId="6" fillId="4" borderId="2" applyAlignment="1" pivotButton="0" quotePrefix="0" xfId="0">
      <alignment vertical="center" wrapText="1"/>
    </xf>
    <xf numFmtId="164" fontId="6" fillId="4" borderId="2" applyAlignment="1" pivotButton="0" quotePrefix="0" xfId="0">
      <alignment vertical="center" wrapText="1"/>
    </xf>
    <xf numFmtId="9" fontId="6" fillId="5" borderId="2" applyAlignment="1" pivotButton="0" quotePrefix="0" xfId="0">
      <alignment vertical="center" wrapText="1"/>
    </xf>
    <xf numFmtId="164" fontId="6" fillId="5" borderId="2" applyAlignment="1" pivotButton="0" quotePrefix="0" xfId="0">
      <alignment vertical="center" wrapText="1"/>
    </xf>
    <xf numFmtId="0" fontId="12" fillId="0" borderId="0" pivotButton="0" quotePrefix="0" xfId="0"/>
    <xf numFmtId="164" fontId="10" fillId="0" borderId="2" applyAlignment="1" pivotButton="0" quotePrefix="0" xfId="0">
      <alignment vertical="center" wrapText="1"/>
    </xf>
    <xf numFmtId="167" fontId="1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Viktor</author>
  </authors>
  <commentList>
    <comment ref="A1" authorId="0" shapeId="0">
      <text>
        <t>Peer universe preserved from submitted model/report. NVDA is the subject company.</t>
      </text>
    </comment>
    <comment ref="I1" authorId="0" shapeId="0">
      <text>
        <t>EV/Revenue multiple. Peer medians used in valuation bridge; NVDA excluded from median calculations per report methodology.</t>
      </text>
    </comment>
    <comment ref="J1" authorId="0" shapeId="0">
      <text>
        <t>EV/EBITDA is the primary selected multiple and receives the highest valuation bridge weight.</t>
      </text>
    </comment>
  </commentList>
</comments>
</file>

<file path=xl/tables/table1.xml><?xml version="1.0" encoding="utf-8"?>
<table xmlns="http://schemas.openxmlformats.org/spreadsheetml/2006/main" id="1" name="CompsData" displayName="CompsData" ref="A1:R14" headerRowCount="1">
  <autoFilter ref="A1:R14"/>
  <tableColumns count="18">
    <tableColumn id="1" name="Ticker"/>
    <tableColumn id="2" name="Company"/>
    <tableColumn id="3" name="Peer Tier"/>
    <tableColumn id="4" name="Market Cap"/>
    <tableColumn id="5" name="EV"/>
    <tableColumn id="6" name="Revenue"/>
    <tableColumn id="7" name="EBITDA"/>
    <tableColumn id="8" name="EBIT"/>
    <tableColumn id="9" name="EV/Revenue"/>
    <tableColumn id="10" name="EV/EBITDA"/>
    <tableColumn id="11" name="EV/EBIT"/>
    <tableColumn id="12" name="P/E"/>
    <tableColumn id="13" name="PEG"/>
    <tableColumn id="14" name="Gross Margin"/>
    <tableColumn id="15" name="EBITDA Margin"/>
    <tableColumn id="16" name="Revenue Growth"/>
    <tableColumn id="17" name="ROE"/>
    <tableColumn id="18" name="Net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. Executive Summary'!A1" TargetMode="External" Id="rId1"/><Relationship Type="http://schemas.openxmlformats.org/officeDocument/2006/relationships/hyperlink" Target="#'2. Comps Data'!A1" TargetMode="External" Id="rId2"/><Relationship Type="http://schemas.openxmlformats.org/officeDocument/2006/relationships/hyperlink" Target="#'3. Valuation Bridge'!A1" TargetMode="External" Id="rId3"/><Relationship Type="http://schemas.openxmlformats.org/officeDocument/2006/relationships/hyperlink" Target="#'4. Methodology'!A1" TargetMode="External" Id="rId4"/><Relationship Type="http://schemas.openxmlformats.org/officeDocument/2006/relationships/hyperlink" Target="#'5. Assumptions &amp; Sources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#'0. Cover &amp; Index'!A1" TargetMode="External" Id="rId1"/><Relationship Type="http://schemas.openxmlformats.org/officeDocument/2006/relationships/hyperlink" Target="#'2. Comps Data'!A1" TargetMode="External" Id="rId2"/><Relationship Type="http://schemas.openxmlformats.org/officeDocument/2006/relationships/hyperlink" Target="#'3. Valuation Bridge'!A1" TargetMode="External" Id="rId3"/><Relationship Type="http://schemas.openxmlformats.org/officeDocument/2006/relationships/hyperlink" Target="#'4. Methodology'!A1" TargetMode="External" Id="rId4"/><Relationship Type="http://schemas.openxmlformats.org/officeDocument/2006/relationships/hyperlink" Target="#'5. Assumptions &amp; Sources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E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62" customWidth="1" min="3" max="3"/>
    <col width="24" customWidth="1" min="4" max="4"/>
    <col width="20" customWidth="1" min="5" max="5"/>
  </cols>
  <sheetData>
    <row r="2" ht="30" customHeight="1">
      <c r="B2" s="12" t="inlineStr">
        <is>
          <t>NVIDIA Corporation — Comparable Company Analysis</t>
        </is>
      </c>
    </row>
    <row r="3">
      <c r="B3" s="13" t="inlineStr">
        <is>
          <t>Investment banking-style trading comps model | Publication-ready portfolio workbook</t>
        </is>
      </c>
    </row>
    <row r="5">
      <c r="B5" s="14" t="inlineStr">
        <is>
          <t>Valuation Date</t>
        </is>
      </c>
      <c r="C5" s="15" t="inlineStr">
        <is>
          <t>July 2026</t>
        </is>
      </c>
      <c r="D5" s="14" t="inlineStr">
        <is>
          <t>Blended Implied Value / Share</t>
        </is>
      </c>
      <c r="E5" s="16">
        <f>'3. Valuation Bridge'!F6</f>
        <v/>
      </c>
    </row>
    <row r="6">
      <c r="B6" s="14" t="inlineStr">
        <is>
          <t>Last Updated</t>
        </is>
      </c>
      <c r="C6" s="15" t="inlineStr">
        <is>
          <t>08 July 2026</t>
        </is>
      </c>
      <c r="D6" s="14" t="inlineStr">
        <is>
          <t>Current Share Price</t>
        </is>
      </c>
      <c r="E6" s="16">
        <f>'3. Valuation Bridge'!F7</f>
        <v/>
      </c>
    </row>
    <row r="7">
      <c r="B7" s="14" t="inlineStr">
        <is>
          <t>Core Conclusion</t>
        </is>
      </c>
      <c r="C7" s="15" t="inlineStr">
        <is>
          <t>Fair to modestly undervalued on profitability-adjusted relative valuation</t>
        </is>
      </c>
      <c r="D7" s="14" t="inlineStr">
        <is>
          <t>Implied Upside / (Downside)</t>
        </is>
      </c>
      <c r="E7" s="17">
        <f>'3. Valuation Bridge'!F8</f>
        <v/>
      </c>
    </row>
    <row r="10">
      <c r="B10" s="18" t="inlineStr">
        <is>
          <t>Sheet Index</t>
        </is>
      </c>
    </row>
    <row r="11">
      <c r="B11" s="19" t="inlineStr">
        <is>
          <t>Tab</t>
        </is>
      </c>
      <c r="C11" s="19" t="inlineStr">
        <is>
          <t>Purpose</t>
        </is>
      </c>
      <c r="D11" s="19" t="inlineStr">
        <is>
          <t>Review Notes</t>
        </is>
      </c>
    </row>
    <row r="12">
      <c r="B12" s="20" t="inlineStr">
        <is>
          <t>1. Executive Summary</t>
        </is>
      </c>
      <c r="C12" s="21" t="inlineStr">
        <is>
          <t>Key conclusion, selected methodology, blended value, current price, and upside.</t>
        </is>
      </c>
      <c r="D12" s="21" t="inlineStr">
        <is>
          <t>Read first; values are preserved from the submitted model/report.</t>
        </is>
      </c>
    </row>
    <row r="13">
      <c r="B13" s="20" t="inlineStr">
        <is>
          <t>2. Comps Data</t>
        </is>
      </c>
      <c r="C13" s="21" t="inlineStr">
        <is>
          <t>Peer universe, valuation multiples, operating benchmarks, and market data inputs.</t>
        </is>
      </c>
      <c r="D13" s="21" t="inlineStr">
        <is>
          <t>NVDA remains included as subject company and excluded from peer statistics in methodology.</t>
        </is>
      </c>
    </row>
    <row r="14">
      <c r="B14" s="20" t="inlineStr">
        <is>
          <t>3. Valuation Bridge</t>
        </is>
      </c>
      <c r="C14" s="21" t="inlineStr">
        <is>
          <t>25th/median/75th percentile ranges and weighted blended implied value.</t>
        </is>
      </c>
      <c r="D14" s="21" t="inlineStr">
        <is>
          <t>Weighting methodology preserved; transparency improved via contribution formulas.</t>
        </is>
      </c>
    </row>
    <row r="15">
      <c r="B15" s="20" t="inlineStr">
        <is>
          <t>4. Methodology</t>
        </is>
      </c>
      <c r="C15" s="21" t="inlineStr">
        <is>
          <t>Peer selection, primary multiple rationale, median vs. mean rationale, and sources.</t>
        </is>
      </c>
      <c r="D15" s="21" t="inlineStr">
        <is>
          <t>No investment thesis rewrite.</t>
        </is>
      </c>
    </row>
    <row r="16">
      <c r="B16" s="20" t="inlineStr">
        <is>
          <t>5. Assumptions &amp; Sources</t>
        </is>
      </c>
      <c r="C16" s="21" t="inlineStr">
        <is>
          <t>Publication metadata, key assumptions, model conventions, and source trail.</t>
        </is>
      </c>
      <c r="D16" s="21" t="inlineStr">
        <is>
          <t>New supporting tab for recruiter review and source traceability.</t>
        </is>
      </c>
    </row>
    <row r="19">
      <c r="B19" s="18" t="inlineStr">
        <is>
          <t>Model Discipline</t>
        </is>
      </c>
    </row>
    <row r="20">
      <c r="B20" s="22" t="inlineStr">
        <is>
          <t>This workbook intentionally preserves the existing peer universe, selected multiples, weighting methodology, implied valuation, and investment conclusion. Enhancements focus on navigation, formatting, formula transparency, assumptions/source documentation, and recruiter-ready usability.</t>
        </is>
      </c>
    </row>
    <row r="21"/>
    <row r="22"/>
  </sheetData>
  <mergeCells count="3">
    <mergeCell ref="B20:E22"/>
    <mergeCell ref="B3:E3"/>
    <mergeCell ref="B2:E2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E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64" customWidth="1" min="3" max="3"/>
    <col width="24" customWidth="1" min="4" max="4"/>
    <col width="18" customWidth="1" min="5" max="5"/>
  </cols>
  <sheetData>
    <row r="2">
      <c r="B2" s="23" t="inlineStr">
        <is>
          <t>Nvidia Comparable Company Analysis — Revised Sell-Side Version</t>
        </is>
      </c>
    </row>
    <row r="4">
      <c r="B4" s="19" t="inlineStr">
        <is>
          <t>Metric</t>
        </is>
      </c>
      <c r="C4" s="19" t="inlineStr">
        <is>
          <t>Output</t>
        </is>
      </c>
      <c r="D4" s="19" t="inlineStr">
        <is>
          <t>Source / Link</t>
        </is>
      </c>
      <c r="E4" s="19" t="inlineStr">
        <is>
          <t>Notes</t>
        </is>
      </c>
    </row>
    <row r="5">
      <c r="B5" s="24" t="inlineStr">
        <is>
          <t>Key conclusion</t>
        </is>
      </c>
      <c r="C5" s="21" t="inlineStr">
        <is>
          <t>Fair to modestly undervalued on profitability-adjusted comps; sales premium is justified by superior growth and margins.</t>
        </is>
      </c>
      <c r="D5" s="21" t="inlineStr">
        <is>
          <t>Final PDF / submitted model</t>
        </is>
      </c>
      <c r="E5" s="21" t="inlineStr">
        <is>
          <t>Preserved</t>
        </is>
      </c>
    </row>
    <row r="6">
      <c r="B6" s="24" t="inlineStr">
        <is>
          <t>Selected methodology</t>
        </is>
      </c>
      <c r="C6" s="25" t="inlineStr">
        <is>
          <t>Median peer multiples, with EV/EBITDA as primary multiple; EV/Revenue and EV/EBIT used as cross-checks.</t>
        </is>
      </c>
      <c r="D6" s="21" t="inlineStr">
        <is>
          <t>Methodology tab</t>
        </is>
      </c>
      <c r="E6" s="21" t="inlineStr">
        <is>
          <t>Preserved</t>
        </is>
      </c>
    </row>
    <row r="7">
      <c r="B7" s="24" t="inlineStr">
        <is>
          <t>Blended implied value / share</t>
        </is>
      </c>
      <c r="C7" s="26" t="n">
        <v>234.0498551978144</v>
      </c>
      <c r="D7" s="21" t="inlineStr">
        <is>
          <t>Valuation Bridge</t>
        </is>
      </c>
      <c r="E7" s="21" t="inlineStr">
        <is>
          <t>Preserved</t>
        </is>
      </c>
    </row>
    <row r="8">
      <c r="B8" s="24" t="inlineStr">
        <is>
          <t>Current share price</t>
        </is>
      </c>
      <c r="C8" s="26" t="n">
        <v>196.93</v>
      </c>
      <c r="D8" s="21" t="inlineStr">
        <is>
          <t>Valuation Bridge</t>
        </is>
      </c>
      <c r="E8" s="21" t="inlineStr">
        <is>
          <t>Preserved</t>
        </is>
      </c>
    </row>
    <row r="9">
      <c r="B9" s="24" t="inlineStr">
        <is>
          <t>Implied upside / (downside)</t>
        </is>
      </c>
      <c r="C9" s="27">
        <f>IF(C8=0,0,C7/C8-1)</f>
        <v/>
      </c>
      <c r="D9" s="21" t="inlineStr">
        <is>
          <t>Formula</t>
        </is>
      </c>
      <c r="E9" s="21" t="inlineStr">
        <is>
          <t>Added for transparency</t>
        </is>
      </c>
    </row>
    <row r="10">
      <c r="B10" s="24" t="inlineStr">
        <is>
          <t>Valuation date</t>
        </is>
      </c>
      <c r="C10" s="21" t="inlineStr">
        <is>
          <t>July 2026</t>
        </is>
      </c>
      <c r="D10" s="21" t="inlineStr">
        <is>
          <t>Final PDF</t>
        </is>
      </c>
      <c r="E10" s="21" t="inlineStr">
        <is>
          <t>Added</t>
        </is>
      </c>
    </row>
    <row r="11">
      <c r="B11" s="24" t="inlineStr">
        <is>
          <t>Last updated</t>
        </is>
      </c>
      <c r="C11" s="21" t="inlineStr">
        <is>
          <t>08 July 2026</t>
        </is>
      </c>
      <c r="D11" s="21" t="inlineStr">
        <is>
          <t>Publication packaging</t>
        </is>
      </c>
      <c r="E11" s="21" t="inlineStr">
        <is>
          <t>Added</t>
        </is>
      </c>
    </row>
    <row r="14">
      <c r="B14" s="28" t="inlineStr">
        <is>
          <t>Navigation</t>
        </is>
      </c>
    </row>
    <row r="15">
      <c r="B15" s="29" t="inlineStr">
        <is>
          <t>0. Cover &amp; Index</t>
        </is>
      </c>
    </row>
    <row r="16">
      <c r="B16" s="29" t="inlineStr">
        <is>
          <t>2. Comps Data</t>
        </is>
      </c>
    </row>
    <row r="17">
      <c r="B17" s="29" t="inlineStr">
        <is>
          <t>3. Valuation Bridge</t>
        </is>
      </c>
    </row>
    <row r="18">
      <c r="B18" s="29" t="inlineStr">
        <is>
          <t>4. Methodology</t>
        </is>
      </c>
    </row>
    <row r="19">
      <c r="B19" s="29" t="inlineStr">
        <is>
          <t>5. Assumptions &amp; Sources</t>
        </is>
      </c>
    </row>
  </sheetData>
  <mergeCells count="1">
    <mergeCell ref="B2:E2"/>
  </mergeCells>
  <hyperlinks>
    <hyperlink xmlns:r="http://schemas.openxmlformats.org/officeDocument/2006/relationships" ref="B15" r:id="rId1"/>
    <hyperlink xmlns:r="http://schemas.openxmlformats.org/officeDocument/2006/relationships" ref="B16" r:id="rId2"/>
    <hyperlink xmlns:r="http://schemas.openxmlformats.org/officeDocument/2006/relationships" ref="B17" r:id="rId3"/>
    <hyperlink xmlns:r="http://schemas.openxmlformats.org/officeDocument/2006/relationships" ref="B18" r:id="rId4"/>
    <hyperlink xmlns:r="http://schemas.openxmlformats.org/officeDocument/2006/relationships" ref="B19" r:id="rId5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R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15" customWidth="1" min="4" max="4"/>
    <col width="16" customWidth="1" min="5" max="5"/>
    <col width="15" customWidth="1" min="6" max="6"/>
    <col width="15" customWidth="1" min="7" max="7"/>
    <col width="17" customWidth="1" min="8" max="8"/>
    <col width="20" customWidth="1" min="9" max="9"/>
    <col width="20" customWidth="1" min="10" max="10"/>
    <col width="20" customWidth="1" min="11" max="11"/>
    <col width="12" customWidth="1" min="12" max="12"/>
    <col width="12" customWidth="1" min="13" max="13"/>
    <col width="14" customWidth="1" min="14" max="14"/>
    <col width="15" customWidth="1" min="15" max="15"/>
    <col width="16" customWidth="1" min="16" max="16"/>
    <col width="13" customWidth="1" min="17" max="17"/>
    <col width="13" customWidth="1" min="18" max="18"/>
  </cols>
  <sheetData>
    <row r="1">
      <c r="A1" s="19" t="inlineStr">
        <is>
          <t>Ticker</t>
        </is>
      </c>
      <c r="B1" s="19" t="inlineStr">
        <is>
          <t>Company</t>
        </is>
      </c>
      <c r="C1" s="19" t="inlineStr">
        <is>
          <t>Peer Tier</t>
        </is>
      </c>
      <c r="D1" s="19" t="inlineStr">
        <is>
          <t>Market Cap</t>
        </is>
      </c>
      <c r="E1" s="19" t="inlineStr">
        <is>
          <t>EV</t>
        </is>
      </c>
      <c r="F1" s="19" t="inlineStr">
        <is>
          <t>Revenue</t>
        </is>
      </c>
      <c r="G1" s="19" t="inlineStr">
        <is>
          <t>EBITDA</t>
        </is>
      </c>
      <c r="H1" s="19" t="inlineStr">
        <is>
          <t>EBIT</t>
        </is>
      </c>
      <c r="I1" s="19" t="inlineStr">
        <is>
          <t>EV/Revenue</t>
        </is>
      </c>
      <c r="J1" s="19" t="inlineStr">
        <is>
          <t>EV/EBITDA</t>
        </is>
      </c>
      <c r="K1" s="19" t="inlineStr">
        <is>
          <t>EV/EBIT</t>
        </is>
      </c>
      <c r="L1" s="19" t="inlineStr">
        <is>
          <t>P/E</t>
        </is>
      </c>
      <c r="M1" s="19" t="inlineStr">
        <is>
          <t>PEG</t>
        </is>
      </c>
      <c r="N1" s="19" t="inlineStr">
        <is>
          <t>Gross Margin</t>
        </is>
      </c>
      <c r="O1" s="19" t="inlineStr">
        <is>
          <t>EBITDA Margin</t>
        </is>
      </c>
      <c r="P1" s="19" t="inlineStr">
        <is>
          <t>Revenue Growth</t>
        </is>
      </c>
      <c r="Q1" s="19" t="inlineStr">
        <is>
          <t>ROE</t>
        </is>
      </c>
      <c r="R1" s="19" t="inlineStr">
        <is>
          <t>Net Margin</t>
        </is>
      </c>
    </row>
    <row r="2">
      <c r="A2" s="30" t="inlineStr">
        <is>
          <t>NVDA</t>
        </is>
      </c>
      <c r="B2" s="30" t="inlineStr">
        <is>
          <t>Nvidia</t>
        </is>
      </c>
      <c r="C2" s="30" t="inlineStr">
        <is>
          <t>Subject</t>
        </is>
      </c>
      <c r="D2" s="31" t="n">
        <v>4769841152000</v>
      </c>
      <c r="E2" s="31" t="n">
        <v>4691951878144</v>
      </c>
      <c r="F2" s="31" t="n">
        <v>253491003392</v>
      </c>
      <c r="G2" s="31" t="n">
        <v>165514002432</v>
      </c>
      <c r="H2" s="31" t="n">
        <v>141709000000</v>
      </c>
      <c r="I2" s="32" t="n">
        <v>18.50934279860157</v>
      </c>
      <c r="J2" s="32" t="n">
        <v>28.34776399097501</v>
      </c>
      <c r="K2" s="32" t="n">
        <v>33.10976633907514</v>
      </c>
      <c r="L2" s="32" t="n">
        <v>30.157732</v>
      </c>
      <c r="M2" s="32" t="n">
        <v>0.6</v>
      </c>
      <c r="N2" s="33" t="n">
        <v>0.74144995</v>
      </c>
      <c r="O2" s="33" t="n">
        <v>0.65294</v>
      </c>
      <c r="P2" s="33" t="n">
        <v>0.852</v>
      </c>
      <c r="Q2" s="33" t="n">
        <v>1.14288</v>
      </c>
      <c r="R2" s="33" t="n">
        <v>0.62966</v>
      </c>
    </row>
    <row r="3">
      <c r="A3" s="21" t="inlineStr">
        <is>
          <t>AMD</t>
        </is>
      </c>
      <c r="B3" s="21" t="inlineStr">
        <is>
          <t>Advanced Micro Devices</t>
        </is>
      </c>
      <c r="C3" s="21" t="inlineStr">
        <is>
          <t>Core AI/Data Center</t>
        </is>
      </c>
      <c r="D3" s="34" t="n">
        <v>841569271808</v>
      </c>
      <c r="E3" s="34" t="n">
        <v>891697102848</v>
      </c>
      <c r="F3" s="34" t="n">
        <v>37454000128</v>
      </c>
      <c r="G3" s="34" t="n">
        <v>7430000128</v>
      </c>
      <c r="H3" s="34" t="n">
        <v>4271000000</v>
      </c>
      <c r="I3" s="35" t="n">
        <v>23.80779355477659</v>
      </c>
      <c r="J3" s="35" t="n">
        <v>120.0130669564371</v>
      </c>
      <c r="K3" s="35" t="n">
        <v>208.7794668339967</v>
      </c>
      <c r="L3" s="35" t="n">
        <v>173.19127</v>
      </c>
      <c r="M3" s="35" t="n">
        <v>1.24</v>
      </c>
      <c r="N3" s="36" t="n">
        <v>0.5306</v>
      </c>
      <c r="O3" s="36" t="n">
        <v>0.19838</v>
      </c>
      <c r="P3" s="36" t="n">
        <v>0.378</v>
      </c>
      <c r="Q3" s="36" t="n">
        <v>0.08062999999999999</v>
      </c>
      <c r="R3" s="36" t="n">
        <v>0.13374</v>
      </c>
    </row>
    <row r="4">
      <c r="A4" s="21" t="inlineStr">
        <is>
          <t>AVGO</t>
        </is>
      </c>
      <c r="B4" s="21" t="inlineStr">
        <is>
          <t>Broadcom</t>
        </is>
      </c>
      <c r="C4" s="21" t="inlineStr">
        <is>
          <t>Core AI/Data Center</t>
        </is>
      </c>
      <c r="D4" s="34" t="n">
        <v>1764015603712</v>
      </c>
      <c r="E4" s="34" t="n">
        <v>1824138199040</v>
      </c>
      <c r="F4" s="34" t="n">
        <v>75464998912</v>
      </c>
      <c r="G4" s="34" t="n">
        <v>42083999744</v>
      </c>
      <c r="H4" s="34" t="n">
        <v>25939000000</v>
      </c>
      <c r="I4" s="35" t="n">
        <v>24.17197674867966</v>
      </c>
      <c r="J4" s="35" t="n">
        <v>43.3451718024989</v>
      </c>
      <c r="K4" s="35" t="n">
        <v>70.32415278306797</v>
      </c>
      <c r="L4" s="35" t="n">
        <v>61.591362</v>
      </c>
      <c r="M4" s="35" t="n">
        <v>0.41</v>
      </c>
      <c r="N4" s="36" t="n">
        <v>0.76284</v>
      </c>
      <c r="O4" s="36" t="n">
        <v>0.55766</v>
      </c>
      <c r="P4" s="36" t="n">
        <v>0.479</v>
      </c>
      <c r="Q4" s="36" t="n">
        <v>0.37280998</v>
      </c>
      <c r="R4" s="36" t="n">
        <v>0.38848</v>
      </c>
    </row>
    <row r="5">
      <c r="A5" s="21" t="inlineStr">
        <is>
          <t>QCOM</t>
        </is>
      </c>
      <c r="B5" s="21" t="inlineStr">
        <is>
          <t>Qualcomm</t>
        </is>
      </c>
      <c r="C5" s="21" t="inlineStr">
        <is>
          <t>Broader Semiconductor Quality</t>
        </is>
      </c>
      <c r="D5" s="34" t="n">
        <v>192850378752</v>
      </c>
      <c r="E5" s="34" t="n">
        <v>198321373184</v>
      </c>
      <c r="F5" s="34" t="n">
        <v>44486000640</v>
      </c>
      <c r="G5" s="34" t="n">
        <v>12999000064</v>
      </c>
      <c r="H5" s="34" t="n">
        <v>13327000000</v>
      </c>
      <c r="I5" s="35" t="n">
        <v>4.458062543965291</v>
      </c>
      <c r="J5" s="35" t="n">
        <v>15.2566637593333</v>
      </c>
      <c r="K5" s="35" t="n">
        <v>14.88117154528401</v>
      </c>
      <c r="L5" s="35" t="n">
        <v>19.65306</v>
      </c>
      <c r="M5" s="35" t="n">
        <v>0.5600000000000001</v>
      </c>
      <c r="N5" s="36" t="n">
        <v>0.54799</v>
      </c>
      <c r="O5" s="36" t="n">
        <v>0.2922</v>
      </c>
      <c r="P5" s="36" t="n">
        <v>-0.035</v>
      </c>
      <c r="Q5" s="36" t="n">
        <v>0.36083</v>
      </c>
      <c r="R5" s="36" t="n">
        <v>0.22308001</v>
      </c>
    </row>
    <row r="6">
      <c r="A6" s="21" t="inlineStr">
        <is>
          <t>TXN</t>
        </is>
      </c>
      <c r="B6" s="21" t="inlineStr">
        <is>
          <t>Texas Instruments</t>
        </is>
      </c>
      <c r="C6" s="21" t="inlineStr">
        <is>
          <t>Broader Semiconductor Quality</t>
        </is>
      </c>
      <c r="D6" s="34" t="n">
        <v>266930208768</v>
      </c>
      <c r="E6" s="34" t="n">
        <v>285160177664</v>
      </c>
      <c r="F6" s="34" t="n">
        <v>18438000640</v>
      </c>
      <c r="G6" s="34" t="n">
        <v>8664999936</v>
      </c>
      <c r="H6" s="34" t="n">
        <v>6253000000</v>
      </c>
      <c r="I6" s="35" t="n">
        <v>15.46589476981383</v>
      </c>
      <c r="J6" s="35" t="n">
        <v>32.90942640163916</v>
      </c>
      <c r="K6" s="35" t="n">
        <v>45.60373863169679</v>
      </c>
      <c r="L6" s="35" t="n">
        <v>50.05119</v>
      </c>
      <c r="M6" s="35" t="n">
        <v>1.4</v>
      </c>
      <c r="N6" s="36" t="n">
        <v>0.57322</v>
      </c>
      <c r="O6" s="36" t="n">
        <v>0.46995</v>
      </c>
      <c r="P6" s="36" t="n">
        <v>0.186</v>
      </c>
      <c r="Q6" s="36" t="n">
        <v>0.32347</v>
      </c>
      <c r="R6" s="36" t="n">
        <v>0.29108</v>
      </c>
    </row>
    <row r="7">
      <c r="A7" s="21" t="inlineStr">
        <is>
          <t>MU</t>
        </is>
      </c>
      <c r="B7" s="21" t="inlineStr">
        <is>
          <t>Micron Technology</t>
        </is>
      </c>
      <c r="C7" s="21" t="inlineStr">
        <is>
          <t>Core AI/Data Center</t>
        </is>
      </c>
      <c r="D7" s="34" t="n">
        <v>1059799957504</v>
      </c>
      <c r="E7" s="34" t="n">
        <v>1092523917312</v>
      </c>
      <c r="F7" s="34" t="n">
        <v>90273996800</v>
      </c>
      <c r="G7" s="34" t="n">
        <v>68222001152</v>
      </c>
      <c r="H7" s="34" t="n">
        <v>10131000000</v>
      </c>
      <c r="I7" s="35" t="n">
        <v>12.10231025588091</v>
      </c>
      <c r="J7" s="35" t="n">
        <v>16.01424612095202</v>
      </c>
      <c r="K7" s="35" t="n">
        <v>107.8396917690258</v>
      </c>
      <c r="L7" s="35" t="n">
        <v>21.220715</v>
      </c>
      <c r="M7" s="35" t="n">
        <v>0.14</v>
      </c>
      <c r="N7" s="36" t="n">
        <v>0.7256899999999999</v>
      </c>
      <c r="O7" s="36" t="n">
        <v>0.75571996</v>
      </c>
      <c r="P7" s="36" t="n">
        <v>3.457</v>
      </c>
      <c r="Q7" s="36" t="n">
        <v>0.66638</v>
      </c>
      <c r="R7" s="36" t="n">
        <v>0.55906</v>
      </c>
    </row>
    <row r="8">
      <c r="A8" s="21" t="inlineStr">
        <is>
          <t>MRVL</t>
        </is>
      </c>
      <c r="B8" s="21" t="inlineStr">
        <is>
          <t>Marvell Technology</t>
        </is>
      </c>
      <c r="C8" s="21" t="inlineStr">
        <is>
          <t>Core AI/Data Center</t>
        </is>
      </c>
      <c r="D8" s="34" t="n">
        <v>201816358912</v>
      </c>
      <c r="E8" s="34" t="n">
        <v>219494989824</v>
      </c>
      <c r="F8" s="34" t="n">
        <v>8717100032</v>
      </c>
      <c r="G8" s="34" t="n">
        <v>2712000000</v>
      </c>
      <c r="H8" s="34" t="n">
        <v>3249200000</v>
      </c>
      <c r="I8" s="35" t="n">
        <v>25.17981771670003</v>
      </c>
      <c r="J8" s="35" t="n">
        <v>80.93473076106194</v>
      </c>
      <c r="K8" s="35" t="n">
        <v>67.55354851163364</v>
      </c>
      <c r="L8" s="35" t="n">
        <v>79.00684</v>
      </c>
      <c r="M8" s="35" t="n">
        <v>1.41</v>
      </c>
      <c r="N8" s="36" t="n">
        <v>0.5150299699999999</v>
      </c>
      <c r="O8" s="36" t="n">
        <v>0.31111</v>
      </c>
      <c r="P8" s="36" t="n">
        <v>0.276</v>
      </c>
      <c r="Q8" s="36" t="n">
        <v>0.16028</v>
      </c>
      <c r="R8" s="36" t="n">
        <v>0.28986</v>
      </c>
    </row>
    <row r="9">
      <c r="A9" s="21" t="inlineStr">
        <is>
          <t>ADI</t>
        </is>
      </c>
      <c r="B9" s="21" t="inlineStr">
        <is>
          <t>Analog Devices</t>
        </is>
      </c>
      <c r="C9" s="21" t="inlineStr">
        <is>
          <t>Broader Semiconductor Quality</t>
        </is>
      </c>
      <c r="D9" s="34" t="n">
        <v>184620597248</v>
      </c>
      <c r="E9" s="34" t="n">
        <v>194663481344</v>
      </c>
      <c r="F9" s="34" t="n">
        <v>12740193280</v>
      </c>
      <c r="G9" s="34" t="n">
        <v>6149394944</v>
      </c>
      <c r="H9" s="34" t="n">
        <v>3029828000</v>
      </c>
      <c r="I9" s="35" t="n">
        <v>15.27947630508789</v>
      </c>
      <c r="J9" s="35" t="n">
        <v>31.65571297936137</v>
      </c>
      <c r="K9" s="35" t="n">
        <v>64.24902051997671</v>
      </c>
      <c r="L9" s="35" t="n">
        <v>56.319466</v>
      </c>
      <c r="M9" s="35" t="n">
        <v>0.71</v>
      </c>
      <c r="N9" s="36" t="n">
        <v>0.64491</v>
      </c>
      <c r="O9" s="36" t="n">
        <v>0.48268002</v>
      </c>
      <c r="P9" s="36" t="n">
        <v>0.372</v>
      </c>
      <c r="Q9" s="36" t="n">
        <v>0.09639</v>
      </c>
      <c r="R9" s="36" t="n">
        <v>0.26007998</v>
      </c>
    </row>
    <row r="10">
      <c r="A10" s="21" t="inlineStr">
        <is>
          <t>MCHP</t>
        </is>
      </c>
      <c r="B10" s="21" t="inlineStr">
        <is>
          <t>Microchip Technology</t>
        </is>
      </c>
      <c r="C10" s="21" t="inlineStr">
        <is>
          <t>Broader Semiconductor Quality</t>
        </is>
      </c>
      <c r="D10" s="34" t="n">
        <v>45615972352</v>
      </c>
      <c r="E10" s="34" t="n">
        <v>52882624512</v>
      </c>
      <c r="F10" s="34" t="n">
        <v>4713099776</v>
      </c>
      <c r="G10" s="34" t="n">
        <v>1219100032</v>
      </c>
      <c r="H10" s="34" t="n">
        <v>488900000</v>
      </c>
      <c r="I10" s="35" t="n">
        <v>11.22034903255993</v>
      </c>
      <c r="J10" s="35" t="n">
        <v>43.37841286513886</v>
      </c>
      <c r="K10" s="35" t="n">
        <v>108.1665463530374</v>
      </c>
      <c r="L10" s="35" t="n">
        <v>382.5</v>
      </c>
      <c r="M10" s="35" t="n">
        <v>0.31</v>
      </c>
      <c r="N10" s="36" t="n">
        <v>0.57735</v>
      </c>
      <c r="O10" s="36" t="n">
        <v>0.25866</v>
      </c>
      <c r="P10" s="36" t="n">
        <v>0.351</v>
      </c>
      <c r="Q10" s="36" t="n">
        <v>0.03405</v>
      </c>
      <c r="R10" s="36" t="n">
        <v>0.048800003</v>
      </c>
    </row>
    <row r="11">
      <c r="A11" s="21" t="inlineStr">
        <is>
          <t>NXPI</t>
        </is>
      </c>
      <c r="B11" s="21" t="inlineStr">
        <is>
          <t>NXP Semiconductors</t>
        </is>
      </c>
      <c r="C11" s="21" t="inlineStr">
        <is>
          <t>Broader Semiconductor Quality</t>
        </is>
      </c>
      <c r="D11" s="34" t="n">
        <v>68962467840</v>
      </c>
      <c r="E11" s="34" t="n">
        <v>77325475840</v>
      </c>
      <c r="F11" s="34" t="n">
        <v>12615000064</v>
      </c>
      <c r="G11" s="34" t="n">
        <v>4160999936</v>
      </c>
      <c r="H11" s="34" t="n">
        <v>3129000000</v>
      </c>
      <c r="I11" s="35" t="n">
        <v>6.12964529906482</v>
      </c>
      <c r="J11" s="35" t="n">
        <v>18.58338789457746</v>
      </c>
      <c r="K11" s="35" t="n">
        <v>24.7125202428891</v>
      </c>
      <c r="L11" s="35" t="n">
        <v>26.113766</v>
      </c>
      <c r="M11" s="35" t="n">
        <v>0.72</v>
      </c>
      <c r="N11" s="36" t="n">
        <v>0.55632</v>
      </c>
      <c r="O11" s="36" t="n">
        <v>0.32985002</v>
      </c>
      <c r="P11" s="36" t="n">
        <v>0.122</v>
      </c>
      <c r="Q11" s="36" t="n">
        <v>0.25812998</v>
      </c>
      <c r="R11" s="36" t="n">
        <v>0.21031</v>
      </c>
    </row>
    <row r="12">
      <c r="A12" s="21" t="inlineStr">
        <is>
          <t>ON</t>
        </is>
      </c>
      <c r="B12" s="21" t="inlineStr">
        <is>
          <t>ON Semiconductor</t>
        </is>
      </c>
      <c r="C12" s="21" t="inlineStr">
        <is>
          <t>Broader Semiconductor Quality</t>
        </is>
      </c>
      <c r="D12" s="34" t="n">
        <v>35454808064</v>
      </c>
      <c r="E12" s="34" t="n">
        <v>37970612224</v>
      </c>
      <c r="F12" s="34" t="n">
        <v>6063000064</v>
      </c>
      <c r="G12" s="34" t="n">
        <v>2047800064</v>
      </c>
      <c r="H12" s="34" t="n">
        <v>202200000</v>
      </c>
      <c r="I12" s="35" t="n">
        <v>6.262677193334762</v>
      </c>
      <c r="J12" s="35" t="n">
        <v>18.5421481772158</v>
      </c>
      <c r="K12" s="35" t="n">
        <v>187.7873997230465</v>
      </c>
      <c r="L12" s="35" t="n">
        <v>66.98529000000001</v>
      </c>
      <c r="M12" s="35" t="n">
        <v>0.3</v>
      </c>
      <c r="N12" s="36" t="n">
        <v>0.42665002</v>
      </c>
      <c r="O12" s="36" t="n">
        <v>0.33775002</v>
      </c>
      <c r="P12" s="36" t="n">
        <v>0.047</v>
      </c>
      <c r="Q12" s="36" t="n">
        <v>0.07493999599999999</v>
      </c>
      <c r="R12" s="36" t="n">
        <v>0.09462</v>
      </c>
    </row>
    <row r="13">
      <c r="A13" s="21" t="inlineStr">
        <is>
          <t>INTC</t>
        </is>
      </c>
      <c r="B13" s="21" t="inlineStr">
        <is>
          <t>Intel</t>
        </is>
      </c>
      <c r="C13" s="21" t="inlineStr">
        <is>
          <t>Broader Semiconductor Quality</t>
        </is>
      </c>
      <c r="D13" s="34" t="n">
        <v>554820108288</v>
      </c>
      <c r="E13" s="34" t="n">
        <v>640014221312</v>
      </c>
      <c r="F13" s="34" t="n">
        <v>53762998272</v>
      </c>
      <c r="G13" s="34" t="n">
        <v>14174000128</v>
      </c>
      <c r="H13" s="34" t="n">
        <v>2648000000</v>
      </c>
      <c r="I13" s="35" t="n">
        <v>11.90436251479156</v>
      </c>
      <c r="J13" s="35" t="n">
        <v>45.15410015043567</v>
      </c>
      <c r="K13" s="35" t="n">
        <v>241.6972134864048</v>
      </c>
      <c r="L13" s="35" t="n"/>
      <c r="M13" s="35" t="n">
        <v>1.36</v>
      </c>
      <c r="N13" s="36" t="n">
        <v>0.372</v>
      </c>
      <c r="O13" s="36" t="n">
        <v>0.26364002</v>
      </c>
      <c r="P13" s="36" t="n">
        <v>0.07199999999999999</v>
      </c>
      <c r="Q13" s="36" t="n">
        <v>-0.02911</v>
      </c>
      <c r="R13" s="36" t="n">
        <v>-0.05904</v>
      </c>
    </row>
    <row r="14">
      <c r="A14" s="21" t="inlineStr">
        <is>
          <t>TSM</t>
        </is>
      </c>
      <c r="B14" s="21" t="inlineStr">
        <is>
          <t>Taiwan Semiconductor</t>
        </is>
      </c>
      <c r="C14" s="21" t="inlineStr">
        <is>
          <t>Core AI/Data Center</t>
        </is>
      </c>
      <c r="D14" s="34" t="n">
        <v>2243513024512</v>
      </c>
      <c r="E14" s="34" t="n">
        <v>16497778884608</v>
      </c>
      <c r="F14" s="34" t="n">
        <v>4103904165888</v>
      </c>
      <c r="G14" s="34" t="n">
        <v>2856031092736</v>
      </c>
      <c r="H14" s="34" t="n">
        <v>2054025100000</v>
      </c>
      <c r="I14" s="35" t="n">
        <v>4.020020501876954</v>
      </c>
      <c r="J14" s="35" t="n">
        <v>5.776470335553517</v>
      </c>
      <c r="K14" s="35" t="n">
        <v>8.03192662280904</v>
      </c>
      <c r="L14" s="35" t="n">
        <v>37.549477</v>
      </c>
      <c r="M14" s="35" t="n">
        <v>1.37</v>
      </c>
      <c r="N14" s="36" t="n">
        <v>0.61873</v>
      </c>
      <c r="O14" s="36" t="n">
        <v>0.69593</v>
      </c>
      <c r="P14" s="36" t="n">
        <v>0.351</v>
      </c>
      <c r="Q14" s="36" t="n">
        <v>0.3621</v>
      </c>
      <c r="R14" s="36" t="n">
        <v>0.46505</v>
      </c>
    </row>
  </sheetData>
  <autoFilter ref="A1:R14"/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0" customWidth="1" min="5" max="5"/>
    <col width="24" customWidth="1" min="6" max="6"/>
    <col width="12" customWidth="1" min="7" max="7"/>
    <col width="22" customWidth="1" min="8" max="8"/>
  </cols>
  <sheetData>
    <row r="1">
      <c r="A1" s="19" t="inlineStr">
        <is>
          <t>Method</t>
        </is>
      </c>
      <c r="B1" s="19" t="inlineStr">
        <is>
          <t>25th %ile</t>
        </is>
      </c>
      <c r="C1" s="19" t="inlineStr">
        <is>
          <t>Median</t>
        </is>
      </c>
      <c r="D1" s="19" t="inlineStr">
        <is>
          <t>75th %ile</t>
        </is>
      </c>
      <c r="E1" s="19" t="inlineStr">
        <is>
          <t>Base Metric</t>
        </is>
      </c>
      <c r="F1" s="19" t="inlineStr">
        <is>
          <t>Implied Price @ Median</t>
        </is>
      </c>
      <c r="G1" s="19" t="inlineStr">
        <is>
          <t>Weight</t>
        </is>
      </c>
      <c r="H1" s="19" t="inlineStr">
        <is>
          <t>Weighted Contribution</t>
        </is>
      </c>
    </row>
    <row r="2">
      <c r="A2" s="21" t="inlineStr">
        <is>
          <t>EV/Revenue</t>
        </is>
      </c>
      <c r="B2" s="35" t="n">
        <v>6.229419219767276</v>
      </c>
      <c r="C2" s="35" t="n">
        <v>12.00333638533623</v>
      </c>
      <c r="D2" s="35" t="n">
        <v>17.55136946605452</v>
      </c>
      <c r="E2" s="34" t="n">
        <v>253491003392</v>
      </c>
      <c r="F2" s="25" t="n">
        <v>127.2901937559384</v>
      </c>
      <c r="G2" s="37" t="n">
        <v>0.2</v>
      </c>
      <c r="H2" s="38">
        <f>F2*G2</f>
        <v/>
      </c>
    </row>
    <row r="3">
      <c r="A3" s="21" t="inlineStr">
        <is>
          <t>EV/EBITDA</t>
        </is>
      </c>
      <c r="B3" s="35" t="n">
        <v>17.91017266314985</v>
      </c>
      <c r="C3" s="35" t="n">
        <v>32.28256969050027</v>
      </c>
      <c r="D3" s="35" t="n">
        <v>43.82233468646307</v>
      </c>
      <c r="E3" s="34" t="n">
        <v>165514002432</v>
      </c>
      <c r="F3" s="25" t="n">
        <v>222.2689119712923</v>
      </c>
      <c r="G3" s="37" t="n">
        <v>0.6</v>
      </c>
      <c r="H3" s="38">
        <f>F3*G3</f>
        <v/>
      </c>
    </row>
    <row r="4">
      <c r="A4" s="21" t="inlineStr">
        <is>
          <t>EV/EBIT</t>
        </is>
      </c>
      <c r="B4" s="35" t="n">
        <v>40.38093403449486</v>
      </c>
      <c r="C4" s="35" t="n">
        <v>68.9388506473508</v>
      </c>
      <c r="D4" s="35" t="n">
        <v>128.0717596955397</v>
      </c>
      <c r="E4" s="34" t="n">
        <v>141709000000</v>
      </c>
      <c r="F4" s="25" t="n">
        <v>405.004483092252</v>
      </c>
      <c r="G4" s="37" t="n">
        <v>0.1</v>
      </c>
      <c r="H4" s="38">
        <f>F4*G4</f>
        <v/>
      </c>
    </row>
    <row r="5">
      <c r="A5" s="21" t="inlineStr">
        <is>
          <t>P/E cross-check</t>
        </is>
      </c>
      <c r="B5" s="35" t="n">
        <v>28.97269375</v>
      </c>
      <c r="C5" s="35" t="n">
        <v>53.185328</v>
      </c>
      <c r="D5" s="35" t="n">
        <v>65.636808</v>
      </c>
      <c r="E5" s="34" t="n">
        <v>6.530000332916282</v>
      </c>
      <c r="F5" s="25" t="n">
        <v>347.3002095462617</v>
      </c>
      <c r="G5" s="37" t="n">
        <v>0.1</v>
      </c>
      <c r="H5" s="38">
        <f>F5*G5</f>
        <v/>
      </c>
    </row>
    <row r="6">
      <c r="A6" s="39" t="inlineStr">
        <is>
          <t>Blended implied value / share</t>
        </is>
      </c>
      <c r="B6" s="40" t="n"/>
      <c r="C6" s="40" t="n"/>
      <c r="D6" s="40" t="n"/>
      <c r="E6" s="41" t="n"/>
      <c r="F6" s="38">
        <f>SUM(H2:H5)</f>
        <v/>
      </c>
      <c r="G6" s="42">
        <f>SUM(G2:G5)</f>
        <v/>
      </c>
      <c r="H6" s="38">
        <f>F6</f>
        <v/>
      </c>
    </row>
    <row r="7">
      <c r="A7" s="43" t="inlineStr">
        <is>
          <t>Current share price</t>
        </is>
      </c>
      <c r="B7" s="44" t="n"/>
      <c r="C7" s="44" t="n"/>
      <c r="D7" s="44" t="n"/>
      <c r="E7" s="45" t="n"/>
      <c r="F7" s="46">
        <f>'1. Executive Summary'!C8</f>
        <v/>
      </c>
      <c r="G7" s="47" t="n"/>
      <c r="H7" s="48" t="n"/>
    </row>
    <row r="8">
      <c r="A8" s="39" t="inlineStr">
        <is>
          <t>Implied upside / (downside)</t>
        </is>
      </c>
      <c r="B8" s="40" t="n"/>
      <c r="C8" s="40" t="n"/>
      <c r="D8" s="40" t="n"/>
      <c r="E8" s="41" t="n"/>
      <c r="F8" s="27">
        <f>IF(F7=0,0,F6/F7-1)</f>
        <v/>
      </c>
      <c r="G8" s="49" t="n"/>
      <c r="H8" s="50" t="n"/>
    </row>
    <row r="11">
      <c r="A11" s="51" t="inlineStr">
        <is>
          <t>Note</t>
        </is>
      </c>
      <c r="B11" s="22" t="inlineStr">
        <is>
          <t>Weighting preserved: 60% EV/EBITDA, 20% EV/Revenue, 10% EV/EBIT, 10% P/E cross-check. Added weighted contribution formulas to make the blended value traceable.</t>
        </is>
      </c>
    </row>
    <row r="12"/>
  </sheetData>
  <mergeCells count="1">
    <mergeCell ref="B11:H12"/>
  </mergeCells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9" t="inlineStr">
        <is>
          <t>Topic</t>
        </is>
      </c>
      <c r="B1" s="19" t="inlineStr">
        <is>
          <t>Methodology</t>
        </is>
      </c>
    </row>
    <row r="2">
      <c r="A2" s="21" t="inlineStr">
        <is>
          <t>Peer selection</t>
        </is>
      </c>
      <c r="B2" s="21" t="inlineStr">
        <is>
          <t>Liquid public semiconductor companies selected for exposure to accelerated compute, memory, networking, analog/embedded, mobile, CPU/foundry, and manufacturing ecosystems. Excludes ASML / equipment due business-model and data comparability.</t>
        </is>
      </c>
    </row>
    <row r="3">
      <c r="A3" s="21" t="inlineStr">
        <is>
          <t>Primary multiple</t>
        </is>
      </c>
      <c r="B3" s="21" t="inlineStr">
        <is>
          <t>EV/EBITDA selected because it captures profitability, neutralizes capital structure, and avoids P/E distortions.</t>
        </is>
      </c>
    </row>
    <row r="4">
      <c r="A4" s="21" t="inlineStr">
        <is>
          <t>Median vs mean</t>
        </is>
      </c>
      <c r="B4" s="21" t="inlineStr">
        <is>
          <t>Median selected because cyclical earnings troughs and hypergrowth outliers distort the arithmetic mean.</t>
        </is>
      </c>
    </row>
    <row r="5">
      <c r="A5" s="21" t="inlineStr">
        <is>
          <t>Sources</t>
        </is>
      </c>
      <c r="B5" s="21" t="inlineStr">
        <is>
          <t>Yahoo Finance/yfinance market data; company filings and earnings releases; Nvidia FY2026 release / SEC filings; analyst judgment for peer grouping.</t>
        </is>
      </c>
    </row>
    <row r="7">
      <c r="A7" s="24" t="inlineStr">
        <is>
          <t>Valuation date</t>
        </is>
      </c>
      <c r="B7" s="21" t="inlineStr">
        <is>
          <t>July 2026; current share price and model data preserved from submitted revised model.</t>
        </is>
      </c>
    </row>
    <row r="8">
      <c r="A8" s="24" t="inlineStr">
        <is>
          <t>Model policy</t>
        </is>
      </c>
      <c r="B8" s="21" t="inlineStr">
        <is>
          <t>No change made to peer universe, selected multiples, implied valuation conclusion, weighting methodology, or investment thesis.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17346"/>
    <outlinePr summaryBelow="1" summaryRight="1"/>
    <pageSetUpPr fitToPage="1"/>
  </sheetPr>
  <dimension ref="B2:D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4" customWidth="1" min="3" max="3"/>
    <col width="24" customWidth="1" min="4" max="4"/>
  </cols>
  <sheetData>
    <row r="2">
      <c r="B2" s="23" t="inlineStr">
        <is>
          <t>Assumptions &amp; Sources</t>
        </is>
      </c>
    </row>
    <row r="4">
      <c r="B4" s="28" t="inlineStr">
        <is>
          <t>Publication Metadata</t>
        </is>
      </c>
    </row>
    <row r="5">
      <c r="B5" s="19" t="inlineStr">
        <is>
          <t>Item</t>
        </is>
      </c>
      <c r="C5" s="19" t="inlineStr">
        <is>
          <t>Detail</t>
        </is>
      </c>
      <c r="D5" s="19" t="inlineStr">
        <is>
          <t>Type</t>
        </is>
      </c>
    </row>
    <row r="6">
      <c r="B6" s="24" t="inlineStr">
        <is>
          <t>Company</t>
        </is>
      </c>
      <c r="C6" s="21" t="inlineStr">
        <is>
          <t>NVIDIA Corporation (NASDAQ: NVDA)</t>
        </is>
      </c>
      <c r="D6" s="21" t="inlineStr">
        <is>
          <t>source / note</t>
        </is>
      </c>
    </row>
    <row r="7">
      <c r="B7" s="24" t="inlineStr">
        <is>
          <t>Analysis type</t>
        </is>
      </c>
      <c r="C7" s="21" t="inlineStr">
        <is>
          <t>Comparable Company Analysis / Trading Comps</t>
        </is>
      </c>
      <c r="D7" s="21" t="inlineStr">
        <is>
          <t>source / note</t>
        </is>
      </c>
    </row>
    <row r="8">
      <c r="B8" s="24" t="inlineStr">
        <is>
          <t>Valuation date</t>
        </is>
      </c>
      <c r="C8" s="21" t="inlineStr">
        <is>
          <t>July 2026</t>
        </is>
      </c>
      <c r="D8" s="21" t="inlineStr">
        <is>
          <t>source / note</t>
        </is>
      </c>
    </row>
    <row r="9">
      <c r="B9" s="24" t="inlineStr">
        <is>
          <t>Last updated</t>
        </is>
      </c>
      <c r="C9" s="21" t="inlineStr">
        <is>
          <t>08 July 2026</t>
        </is>
      </c>
      <c r="D9" s="21" t="inlineStr">
        <is>
          <t>source / note</t>
        </is>
      </c>
    </row>
    <row r="12">
      <c r="B12" s="28" t="inlineStr">
        <is>
          <t>Key Preserved Assumptions</t>
        </is>
      </c>
    </row>
    <row r="13">
      <c r="B13" s="19" t="inlineStr">
        <is>
          <t>Item</t>
        </is>
      </c>
      <c r="C13" s="19" t="inlineStr">
        <is>
          <t>Detail</t>
        </is>
      </c>
      <c r="D13" s="19" t="inlineStr">
        <is>
          <t>Type</t>
        </is>
      </c>
    </row>
    <row r="14">
      <c r="B14" s="24" t="inlineStr">
        <is>
          <t>Peer universe</t>
        </is>
      </c>
      <c r="C14" s="21" t="inlineStr">
        <is>
          <t>Preserved from submitted model/report; NVDA shown as subject company and excluded from peer statistics.</t>
        </is>
      </c>
      <c r="D14" s="21" t="inlineStr">
        <is>
          <t>source / note</t>
        </is>
      </c>
    </row>
    <row r="15">
      <c r="B15" s="24" t="inlineStr">
        <is>
          <t>Primary selected multiple</t>
        </is>
      </c>
      <c r="C15" s="21" t="inlineStr">
        <is>
          <t>EV/EBITDA</t>
        </is>
      </c>
      <c r="D15" s="21" t="inlineStr">
        <is>
          <t>source / note</t>
        </is>
      </c>
    </row>
    <row r="16">
      <c r="B16" s="24" t="inlineStr">
        <is>
          <t>Weighting methodology</t>
        </is>
      </c>
      <c r="C16" s="21" t="inlineStr">
        <is>
          <t>20% EV/Revenue, 60% EV/EBITDA, 10% EV/EBIT, 10% P/E cross-check</t>
        </is>
      </c>
      <c r="D16" s="21" t="inlineStr">
        <is>
          <t>source / note</t>
        </is>
      </c>
    </row>
    <row r="17">
      <c r="B17" s="24" t="inlineStr">
        <is>
          <t>Investment conclusion</t>
        </is>
      </c>
      <c r="C17" s="21" t="inlineStr">
        <is>
          <t>Fair to modestly undervalued on profitability-adjusted relative valuation</t>
        </is>
      </c>
      <c r="D17" s="21" t="inlineStr">
        <is>
          <t>source / note</t>
        </is>
      </c>
    </row>
    <row r="18">
      <c r="B18" s="24" t="inlineStr">
        <is>
          <t>Blended implied value / share</t>
        </is>
      </c>
      <c r="C18" s="52">
        <f>'3. Valuation Bridge'!F6</f>
        <v/>
      </c>
      <c r="D18" s="21" t="inlineStr">
        <is>
          <t>formula</t>
        </is>
      </c>
    </row>
    <row r="19">
      <c r="B19" s="24" t="inlineStr">
        <is>
          <t>Current share price</t>
        </is>
      </c>
      <c r="C19" s="52">
        <f>'3. Valuation Bridge'!F7</f>
        <v/>
      </c>
      <c r="D19" s="21" t="inlineStr">
        <is>
          <t>formula</t>
        </is>
      </c>
    </row>
    <row r="20">
      <c r="B20" s="24" t="inlineStr">
        <is>
          <t>Implied upside / (downside)</t>
        </is>
      </c>
      <c r="C20" s="53">
        <f>'3. Valuation Bridge'!F8</f>
        <v/>
      </c>
      <c r="D20" s="21" t="inlineStr">
        <is>
          <t>formula_pct</t>
        </is>
      </c>
    </row>
    <row r="23">
      <c r="B23" s="28" t="inlineStr">
        <is>
          <t>Source Trail</t>
        </is>
      </c>
    </row>
    <row r="24">
      <c r="B24" s="19" t="inlineStr">
        <is>
          <t>Item</t>
        </is>
      </c>
      <c r="C24" s="19" t="inlineStr">
        <is>
          <t>Detail</t>
        </is>
      </c>
      <c r="D24" s="19" t="inlineStr">
        <is>
          <t>Type</t>
        </is>
      </c>
    </row>
    <row r="25">
      <c r="B25" s="24" t="inlineStr">
        <is>
          <t>Market data and trading multiples</t>
        </is>
      </c>
      <c r="C25" s="21" t="inlineStr">
        <is>
          <t>Yahoo Finance / yfinance market data pull, accessed 7–8 July 2026</t>
        </is>
      </c>
      <c r="D25" s="21" t="inlineStr">
        <is>
          <t>source / note</t>
        </is>
      </c>
    </row>
    <row r="26">
      <c r="B26" s="24" t="inlineStr">
        <is>
          <t>NVIDIA financial cross-check</t>
        </is>
      </c>
      <c r="C26" s="21" t="inlineStr">
        <is>
          <t>NVIDIA FY2026 fourth-quarter / fiscal-year results release and related SEC filings</t>
        </is>
      </c>
      <c r="D26" s="21" t="inlineStr">
        <is>
          <t>source / note</t>
        </is>
      </c>
    </row>
    <row r="27">
      <c r="B27" s="24" t="inlineStr">
        <is>
          <t>Peer financial data</t>
        </is>
      </c>
      <c r="C27" s="21" t="inlineStr">
        <is>
          <t>Latest available public filings, company-reported financial statements, and data-provider normalized metrics</t>
        </is>
      </c>
      <c r="D27" s="21" t="inlineStr">
        <is>
          <t>source / note</t>
        </is>
      </c>
    </row>
    <row r="28">
      <c r="B28" s="24" t="inlineStr">
        <is>
          <t>Valuation calculations</t>
        </is>
      </c>
      <c r="C28" s="21" t="inlineStr">
        <is>
          <t>Enterprise value divided by TTM/latest available revenue and EBITDA; EV/EBIT uses latest annual EBIT available from public financial statements</t>
        </is>
      </c>
      <c r="D28" s="21" t="inlineStr">
        <is>
          <t>source / note</t>
        </is>
      </c>
    </row>
    <row r="29">
      <c r="B29" s="24" t="inlineStr">
        <is>
          <t>Exclusions</t>
        </is>
      </c>
      <c r="C29" s="21" t="inlineStr">
        <is>
          <t>ASML reviewed but excluded because semiconductor capital equipment economics and data-provider EV/revenue inconsistencies made it non-comparable to chip-company peers</t>
        </is>
      </c>
      <c r="D29" s="21" t="inlineStr">
        <is>
          <t>source / note</t>
        </is>
      </c>
    </row>
    <row r="34">
      <c r="B34" s="51" t="inlineStr">
        <is>
          <t>Disclaimer</t>
        </is>
      </c>
      <c r="C34" s="22" t="inlineStr">
        <is>
          <t>Educational and recruiting portfolio analysis only. Not investment advice or a recommendation to buy or sell securities. Refresh market data and filings before investment use.</t>
        </is>
      </c>
    </row>
    <row r="35"/>
    <row r="36"/>
  </sheetData>
  <mergeCells count="2">
    <mergeCell ref="B2:D2"/>
    <mergeCell ref="C34:D3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2026-07-07T23:46:52Z</dcterms:created>
  <dcterms:modified xmlns:dcterms="http://purl.org/dc/terms/" xmlns:xsi="http://www.w3.org/2001/XMLSchema-instance" xsi:type="dcterms:W3CDTF">2026-07-08T01:21:04Z</dcterms:modified>
</cp:coreProperties>
</file>